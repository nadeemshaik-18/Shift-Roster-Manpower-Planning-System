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dim\OneDrive\Desktop\"/>
    </mc:Choice>
  </mc:AlternateContent>
  <xr:revisionPtr revIDLastSave="0" documentId="13_ncr:1_{682319A9-95DE-4849-9AB0-214216AD12C7}" xr6:coauthVersionLast="47" xr6:coauthVersionMax="47" xr10:uidLastSave="{00000000-0000-0000-0000-000000000000}"/>
  <bookViews>
    <workbookView xWindow="-108" yWindow="-108" windowWidth="23256" windowHeight="12456" tabRatio="500" firstSheet="2" activeTab="4" xr2:uid="{00000000-000D-0000-FFFF-FFFF00000000}"/>
  </bookViews>
  <sheets>
    <sheet name="Employee Master" sheetId="1" r:id="rId1"/>
    <sheet name="Weekly Shift Roster" sheetId="2" r:id="rId2"/>
    <sheet name="Headcount Tracker" sheetId="3" r:id="rId3"/>
    <sheet name="Week-Off &amp; Swap Log" sheetId="4" r:id="rId4"/>
    <sheet name="How To Use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3" l="1"/>
  <c r="I14" i="3" s="1"/>
  <c r="I12" i="3"/>
  <c r="I8" i="3"/>
  <c r="I9" i="3" s="1"/>
  <c r="I10" i="3" s="1"/>
  <c r="I40" i="2"/>
  <c r="H40" i="2"/>
  <c r="G40" i="2"/>
  <c r="F40" i="2"/>
  <c r="E40" i="2"/>
  <c r="D40" i="2"/>
  <c r="C40" i="2"/>
  <c r="I39" i="2"/>
  <c r="H39" i="2"/>
  <c r="G39" i="2"/>
  <c r="F39" i="2"/>
  <c r="E39" i="2"/>
  <c r="D39" i="2"/>
  <c r="C39" i="2"/>
  <c r="I38" i="2"/>
  <c r="H38" i="2"/>
  <c r="H12" i="3" s="1"/>
  <c r="H13" i="3" s="1"/>
  <c r="H14" i="3" s="1"/>
  <c r="G38" i="2"/>
  <c r="G12" i="3" s="1"/>
  <c r="G13" i="3" s="1"/>
  <c r="G14" i="3" s="1"/>
  <c r="F38" i="2"/>
  <c r="F12" i="3" s="1"/>
  <c r="F13" i="3" s="1"/>
  <c r="F14" i="3" s="1"/>
  <c r="E38" i="2"/>
  <c r="E12" i="3" s="1"/>
  <c r="D38" i="2"/>
  <c r="D12" i="3" s="1"/>
  <c r="D13" i="3" s="1"/>
  <c r="D14" i="3" s="1"/>
  <c r="C38" i="2"/>
  <c r="C12" i="3" s="1"/>
  <c r="I37" i="2"/>
  <c r="H37" i="2"/>
  <c r="H8" i="3" s="1"/>
  <c r="H9" i="3" s="1"/>
  <c r="H10" i="3" s="1"/>
  <c r="G37" i="2"/>
  <c r="G8" i="3" s="1"/>
  <c r="G9" i="3" s="1"/>
  <c r="G10" i="3" s="1"/>
  <c r="F37" i="2"/>
  <c r="F8" i="3" s="1"/>
  <c r="F9" i="3" s="1"/>
  <c r="F10" i="3" s="1"/>
  <c r="E37" i="2"/>
  <c r="E8" i="3" s="1"/>
  <c r="E9" i="3" s="1"/>
  <c r="E10" i="3" s="1"/>
  <c r="D37" i="2"/>
  <c r="D8" i="3" s="1"/>
  <c r="D9" i="3" s="1"/>
  <c r="D10" i="3" s="1"/>
  <c r="C37" i="2"/>
  <c r="C8" i="3" s="1"/>
  <c r="I36" i="2"/>
  <c r="I4" i="3" s="1"/>
  <c r="I5" i="3" s="1"/>
  <c r="I6" i="3" s="1"/>
  <c r="H36" i="2"/>
  <c r="H4" i="3" s="1"/>
  <c r="H5" i="3" s="1"/>
  <c r="H6" i="3" s="1"/>
  <c r="G36" i="2"/>
  <c r="G4" i="3" s="1"/>
  <c r="G5" i="3" s="1"/>
  <c r="G6" i="3" s="1"/>
  <c r="F36" i="2"/>
  <c r="F4" i="3" s="1"/>
  <c r="F5" i="3" s="1"/>
  <c r="F6" i="3" s="1"/>
  <c r="E36" i="2"/>
  <c r="E4" i="3" s="1"/>
  <c r="E5" i="3" s="1"/>
  <c r="E6" i="3" s="1"/>
  <c r="D36" i="2"/>
  <c r="D4" i="3" s="1"/>
  <c r="D5" i="3" s="1"/>
  <c r="D6" i="3" s="1"/>
  <c r="C36" i="2"/>
  <c r="C4" i="3" s="1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E35" i="1"/>
  <c r="B35" i="1"/>
  <c r="E13" i="3" l="1"/>
  <c r="E14" i="3" s="1"/>
  <c r="C13" i="3"/>
  <c r="J12" i="3"/>
  <c r="C9" i="3"/>
  <c r="J8" i="3"/>
  <c r="C5" i="3"/>
  <c r="J4" i="3"/>
  <c r="C6" i="3" l="1"/>
  <c r="J5" i="3"/>
  <c r="J9" i="3"/>
  <c r="C10" i="3"/>
  <c r="C14" i="3"/>
  <c r="J13" i="3"/>
</calcChain>
</file>

<file path=xl/sharedStrings.xml><?xml version="1.0" encoding="utf-8"?>
<sst xmlns="http://schemas.openxmlformats.org/spreadsheetml/2006/main" count="884" uniqueCount="173">
  <si>
    <t>Employee Master — Operations Team (30 Employees)</t>
  </si>
  <si>
    <t>Emp ID</t>
  </si>
  <si>
    <t>Employee Name</t>
  </si>
  <si>
    <t>Department</t>
  </si>
  <si>
    <t>Designation</t>
  </si>
  <si>
    <t>Preferred Shift</t>
  </si>
  <si>
    <t>Date of Joining</t>
  </si>
  <si>
    <t>Status</t>
  </si>
  <si>
    <t>EMP101</t>
  </si>
  <si>
    <t>Aarav Sharma</t>
  </si>
  <si>
    <t>Customer Support</t>
  </si>
  <si>
    <t>Operations Executive</t>
  </si>
  <si>
    <t>Morning</t>
  </si>
  <si>
    <t>Active</t>
  </si>
  <si>
    <t>EMP102</t>
  </si>
  <si>
    <t>Priya Nair</t>
  </si>
  <si>
    <t>Warehouse Ops</t>
  </si>
  <si>
    <t>Afternoon</t>
  </si>
  <si>
    <t>EMP103</t>
  </si>
  <si>
    <t>Rahul Mehta</t>
  </si>
  <si>
    <t>Delivery Ops</t>
  </si>
  <si>
    <t>Night</t>
  </si>
  <si>
    <t>EMP104</t>
  </si>
  <si>
    <t>Sneha Reddy</t>
  </si>
  <si>
    <t>EMP105</t>
  </si>
  <si>
    <t>Vikram Patel</t>
  </si>
  <si>
    <t>EMP106</t>
  </si>
  <si>
    <t>Anita Joshi</t>
  </si>
  <si>
    <t>EMP107</t>
  </si>
  <si>
    <t>Karan Bose</t>
  </si>
  <si>
    <t>EMP108</t>
  </si>
  <si>
    <t>Divya Iyer</t>
  </si>
  <si>
    <t>EMP109</t>
  </si>
  <si>
    <t>Rohit Gupta</t>
  </si>
  <si>
    <t>EMP110</t>
  </si>
  <si>
    <t>Meera Pillai</t>
  </si>
  <si>
    <t>EMP111</t>
  </si>
  <si>
    <t>Arjun Tiwari</t>
  </si>
  <si>
    <t>EMP112</t>
  </si>
  <si>
    <t>Kavya Rao</t>
  </si>
  <si>
    <t>EMP113</t>
  </si>
  <si>
    <t>Suresh Kumar</t>
  </si>
  <si>
    <t>EMP114</t>
  </si>
  <si>
    <t>Pooja Singh</t>
  </si>
  <si>
    <t>EMP115</t>
  </si>
  <si>
    <t>Nikhil Das</t>
  </si>
  <si>
    <t>EMP116</t>
  </si>
  <si>
    <t>Lakshmi Menon</t>
  </si>
  <si>
    <t>EMP117</t>
  </si>
  <si>
    <t>Aditya Verma</t>
  </si>
  <si>
    <t>EMP118</t>
  </si>
  <si>
    <t>Riya Choudhary</t>
  </si>
  <si>
    <t>EMP119</t>
  </si>
  <si>
    <t>Manish Yadav</t>
  </si>
  <si>
    <t>EMP120</t>
  </si>
  <si>
    <t>Swathi Nambiar</t>
  </si>
  <si>
    <t>EMP121</t>
  </si>
  <si>
    <t>Deepak Pandey</t>
  </si>
  <si>
    <t>EMP122</t>
  </si>
  <si>
    <t>Anjali Mishra</t>
  </si>
  <si>
    <t>EMP123</t>
  </si>
  <si>
    <t>Siddharth Roy</t>
  </si>
  <si>
    <t>EMP124</t>
  </si>
  <si>
    <t>Nandini Krishnan</t>
  </si>
  <si>
    <t>EMP125</t>
  </si>
  <si>
    <t>Tarun Sinha</t>
  </si>
  <si>
    <t>EMP126</t>
  </si>
  <si>
    <t>Bhavna Shah</t>
  </si>
  <si>
    <t>EMP127</t>
  </si>
  <si>
    <t>Prasad Kulkarni</t>
  </si>
  <si>
    <t>EMP128</t>
  </si>
  <si>
    <t>Geeta Thakur</t>
  </si>
  <si>
    <t>EMP129</t>
  </si>
  <si>
    <t>Yusuf Khan</t>
  </si>
  <si>
    <t>EMP130</t>
  </si>
  <si>
    <t>Charitha Balan</t>
  </si>
  <si>
    <t>Total Employees</t>
  </si>
  <si>
    <t>Weekly Shift Roster — Week of 04-Nov-2024 to 10-Nov-2024</t>
  </si>
  <si>
    <t>Legend:</t>
  </si>
  <si>
    <t>M = Morning 6AM-2PM</t>
  </si>
  <si>
    <t>A = Afternoon 2PM-10PM</t>
  </si>
  <si>
    <t>N = Night 10PM-6AM</t>
  </si>
  <si>
    <t>W = Week-Off</t>
  </si>
  <si>
    <t>L = Leave</t>
  </si>
  <si>
    <t>Mon 04-Nov</t>
  </si>
  <si>
    <t>Tue 05-Nov</t>
  </si>
  <si>
    <t>Wed 06-Nov</t>
  </si>
  <si>
    <t>Thu 07-Nov</t>
  </si>
  <si>
    <t>Fri 08-Nov</t>
  </si>
  <si>
    <t>Sat 09-Nov</t>
  </si>
  <si>
    <t>Sun 10-Nov</t>
  </si>
  <si>
    <t>Working Days</t>
  </si>
  <si>
    <t>Week-Off Day</t>
  </si>
  <si>
    <t>M</t>
  </si>
  <si>
    <t>L</t>
  </si>
  <si>
    <t>W</t>
  </si>
  <si>
    <t>Sun</t>
  </si>
  <si>
    <t>A</t>
  </si>
  <si>
    <t>N</t>
  </si>
  <si>
    <t>DAILY SHIFT COUNT SUMMARY</t>
  </si>
  <si>
    <t>Morning (M) Count</t>
  </si>
  <si>
    <t>Req: 8</t>
  </si>
  <si>
    <t>Afternoon (A) Count</t>
  </si>
  <si>
    <t>Night (N) Count</t>
  </si>
  <si>
    <t>Req: 6</t>
  </si>
  <si>
    <t>Week-Off (W) Count</t>
  </si>
  <si>
    <t>Req: -</t>
  </si>
  <si>
    <t>On Leave (L) Count</t>
  </si>
  <si>
    <t>Headcount Tracker — Actual vs Required Per Shift Per Day</t>
  </si>
  <si>
    <t>Shift</t>
  </si>
  <si>
    <t>Metric</t>
  </si>
  <si>
    <t>Weekly Avg</t>
  </si>
  <si>
    <t>Required</t>
  </si>
  <si>
    <t>Actual</t>
  </si>
  <si>
    <t>Variance</t>
  </si>
  <si>
    <t>Week-Off &amp; Swap Log — November 2024</t>
  </si>
  <si>
    <t>SECTION 1 — Approved Week-Off Log</t>
  </si>
  <si>
    <t>Week-Off Date</t>
  </si>
  <si>
    <t>Day</t>
  </si>
  <si>
    <t>Reason</t>
  </si>
  <si>
    <t>Approved By</t>
  </si>
  <si>
    <t>Remarks</t>
  </si>
  <si>
    <t>Scheduled Week-Off</t>
  </si>
  <si>
    <t>Ops Manager</t>
  </si>
  <si>
    <t>Approved</t>
  </si>
  <si>
    <t>—</t>
  </si>
  <si>
    <t>SECTION 2 — Shift Swap Log</t>
  </si>
  <si>
    <t>Swap ID</t>
  </si>
  <si>
    <t>Requesting Emp</t>
  </si>
  <si>
    <t>Their Shift</t>
  </si>
  <si>
    <t>Swap With Emp</t>
  </si>
  <si>
    <t>Swap Date</t>
  </si>
  <si>
    <t>SWP-001</t>
  </si>
  <si>
    <t>05-Nov-2024</t>
  </si>
  <si>
    <t>Team Lead</t>
  </si>
  <si>
    <t>Personal reason</t>
  </si>
  <si>
    <t>SWP-002</t>
  </si>
  <si>
    <t>06-Nov-2024</t>
  </si>
  <si>
    <t>Medical appointment</t>
  </si>
  <si>
    <t>SWP-003</t>
  </si>
  <si>
    <t>07-Nov-2024</t>
  </si>
  <si>
    <t>Family event</t>
  </si>
  <si>
    <t>SWP-004</t>
  </si>
  <si>
    <t>08-Nov-2024</t>
  </si>
  <si>
    <t>Pending</t>
  </si>
  <si>
    <t>Under review</t>
  </si>
  <si>
    <t>SWP-005</t>
  </si>
  <si>
    <t>09-Nov-2024</t>
  </si>
  <si>
    <t>Transport issue</t>
  </si>
  <si>
    <t>How To Use — Shift Roster &amp; Manpower Planning Tracker</t>
  </si>
  <si>
    <t>Sheet</t>
  </si>
  <si>
    <t>Purpose</t>
  </si>
  <si>
    <t>Instructions</t>
  </si>
  <si>
    <t>Employee Master</t>
  </si>
  <si>
    <t>List of all 30 employees</t>
  </si>
  <si>
    <t>Do not delete rows. Update Status to 'Inactive' if employee leaves. All other sheets reference this data.</t>
  </si>
  <si>
    <t>Weekly Shift Roster</t>
  </si>
  <si>
    <t>Assign shifts for the week</t>
  </si>
  <si>
    <t>Enter shift codes: M (Morning), A (Afternoon), N (Night), W (Week-Off), L (Leave). Summary rows at bottom auto-calculate daily headcount per shift.</t>
  </si>
  <si>
    <t>Headcount Tracker</t>
  </si>
  <si>
    <t>Compare actual vs required headcount</t>
  </si>
  <si>
    <t>Auto-updates from Weekly Shift Roster. Check Status rows — OK means requirement met, SHORTAGE means action needed. No manual entry required.</t>
  </si>
  <si>
    <t>Week-Off &amp; Swap Log</t>
  </si>
  <si>
    <t>Track week-offs and shift swaps</t>
  </si>
  <si>
    <t>Log all week-off requests in Section 1. Log all swap requests in Section 2. Update Status to Approved or Pending. Approved By should be the manager name.</t>
  </si>
  <si>
    <t>NOTE 1</t>
  </si>
  <si>
    <t>Shift codes are case-sensitive. Always use UPPERCASE: M, A, N, W, L.</t>
  </si>
  <si>
    <t>NOTE 2</t>
  </si>
  <si>
    <t>Each employee must have exactly 1 Week-Off (W) per week. Ensure this before finalizing roster.</t>
  </si>
  <si>
    <t>NOTE 3</t>
  </si>
  <si>
    <t>Do not change column order in any sheet — all cross-sheet formulas depend on fixed positions.</t>
  </si>
  <si>
    <t>NOTE 4</t>
  </si>
  <si>
    <t>Required headcount: Morning = 8, Afternoon = 8, Night = 6. Update in Headcount Tracker if policy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</si>
</sst>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2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name val="Arial"/>
      <charset val="1"/>
    </font>
    <font>
      <b/>
      <sz val="9"/>
      <color rgb="FF000000"/>
      <name val="Arial"/>
      <charset val="1"/>
    </font>
    <font>
      <b/>
      <sz val="8"/>
      <color rgb="FF215868"/>
      <name val="Arial"/>
      <charset val="1"/>
    </font>
    <font>
      <b/>
      <sz val="8"/>
      <color rgb="FF375623"/>
      <name val="Arial"/>
      <charset val="1"/>
    </font>
    <font>
      <b/>
      <sz val="8"/>
      <color rgb="FF4A235A"/>
      <name val="Arial"/>
      <charset val="1"/>
    </font>
    <font>
      <b/>
      <sz val="8"/>
      <color rgb="FF7F6000"/>
      <name val="Arial"/>
      <charset val="1"/>
    </font>
    <font>
      <b/>
      <sz val="8"/>
      <color rgb="FF843C0C"/>
      <name val="Arial"/>
      <charset val="1"/>
    </font>
    <font>
      <b/>
      <sz val="10"/>
      <color rgb="FF215868"/>
      <name val="Arial"/>
      <charset val="1"/>
    </font>
    <font>
      <b/>
      <sz val="10"/>
      <color rgb="FF843C0C"/>
      <name val="Arial"/>
      <charset val="1"/>
    </font>
    <font>
      <b/>
      <sz val="10"/>
      <color rgb="FF7F6000"/>
      <name val="Arial"/>
      <charset val="1"/>
    </font>
    <font>
      <sz val="10"/>
      <name val="Arial"/>
      <charset val="1"/>
    </font>
    <font>
      <sz val="10"/>
      <color rgb="FF7F6000"/>
      <name val="Arial"/>
      <charset val="1"/>
    </font>
    <font>
      <b/>
      <sz val="10"/>
      <color rgb="FF4A235A"/>
      <name val="Arial"/>
      <charset val="1"/>
    </font>
    <font>
      <sz val="10"/>
      <color rgb="FF215868"/>
      <name val="Arial"/>
      <charset val="1"/>
    </font>
    <font>
      <sz val="10"/>
      <color rgb="FF375623"/>
      <name val="Arial"/>
      <charset val="1"/>
    </font>
    <font>
      <sz val="10"/>
      <color rgb="FF4A235A"/>
      <name val="Arial"/>
      <charset val="1"/>
    </font>
    <font>
      <b/>
      <sz val="10"/>
      <color rgb="FFC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15868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EEAF1"/>
      </patternFill>
    </fill>
    <fill>
      <patternFill patternType="solid">
        <fgColor rgb="FFDEEAF1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F4CCFF"/>
        <bgColor rgb="FFFFCC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7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1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13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8" fillId="7" borderId="1" xfId="0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165" fontId="15" fillId="9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21" fillId="0" borderId="1" xfId="0" applyFont="1" applyBorder="1"/>
    <xf numFmtId="0" fontId="15" fillId="0" borderId="1" xfId="0" applyFont="1" applyBorder="1" applyAlignment="1">
      <alignment horizontal="left" vertical="center"/>
    </xf>
    <xf numFmtId="0" fontId="0" fillId="0" borderId="1" xfId="0" applyBorder="1"/>
    <xf numFmtId="0" fontId="5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b/>
        <sz val="10"/>
        <color rgb="FFC00000"/>
        <name val="Arial"/>
        <charset val="1"/>
      </font>
      <fill>
        <patternFill>
          <bgColor rgb="FFFFCC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FCC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FCC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4CCFF"/>
      <rgbColor rgb="FFCC99FF"/>
      <rgbColor rgb="FFFFCCCC"/>
      <rgbColor rgb="FF2E75B6"/>
      <rgbColor rgb="FF33CCCC"/>
      <rgbColor rgb="FF99CC00"/>
      <rgbColor rgb="FFF4B942"/>
      <rgbColor rgb="FFFF9900"/>
      <rgbColor rgb="FFFF6600"/>
      <rgbColor rgb="FF595959"/>
      <rgbColor rgb="FF70AD47"/>
      <rgbColor rgb="FF1F3864"/>
      <rgbColor rgb="FF339966"/>
      <rgbColor rgb="FF003300"/>
      <rgbColor rgb="FF375623"/>
      <rgbColor rgb="FF843C0C"/>
      <rgbColor rgb="FF993366"/>
      <rgbColor rgb="FF215868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G35"/>
  <sheetViews>
    <sheetView showGridLines="0" zoomScaleNormal="100" workbookViewId="0">
      <pane ySplit="2" topLeftCell="A24" activePane="bottomLeft" state="frozen"/>
      <selection pane="bottomLeft" activeCell="C24" sqref="C24:C26"/>
    </sheetView>
  </sheetViews>
  <sheetFormatPr defaultColWidth="8.6640625" defaultRowHeight="14.4" x14ac:dyDescent="0.3"/>
  <cols>
    <col min="1" max="1" width="10" customWidth="1"/>
    <col min="2" max="2" width="22" customWidth="1"/>
    <col min="3" max="3" width="20" customWidth="1"/>
    <col min="4" max="4" width="22" customWidth="1"/>
    <col min="5" max="6" width="16" customWidth="1"/>
    <col min="7" max="7" width="10" customWidth="1"/>
  </cols>
  <sheetData>
    <row r="1" spans="1:7" ht="31.5" customHeight="1" x14ac:dyDescent="0.3">
      <c r="A1" s="3" t="s">
        <v>0</v>
      </c>
      <c r="B1" s="3"/>
      <c r="C1" s="3"/>
      <c r="D1" s="3"/>
      <c r="E1" s="3"/>
      <c r="F1" s="3"/>
      <c r="G1" s="3"/>
    </row>
    <row r="2" spans="1:7" ht="27.7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 x14ac:dyDescent="0.3">
      <c r="A3" s="5" t="s">
        <v>8</v>
      </c>
      <c r="B3" s="6" t="s">
        <v>9</v>
      </c>
      <c r="C3" s="6" t="s">
        <v>10</v>
      </c>
      <c r="D3" s="5" t="s">
        <v>11</v>
      </c>
      <c r="E3" s="5" t="s">
        <v>12</v>
      </c>
      <c r="F3" s="7">
        <v>44717</v>
      </c>
      <c r="G3" s="8" t="s">
        <v>13</v>
      </c>
    </row>
    <row r="4" spans="1:7" ht="18" customHeight="1" x14ac:dyDescent="0.3">
      <c r="A4" s="9" t="s">
        <v>14</v>
      </c>
      <c r="B4" s="10" t="s">
        <v>15</v>
      </c>
      <c r="C4" s="10" t="s">
        <v>16</v>
      </c>
      <c r="D4" s="9" t="s">
        <v>11</v>
      </c>
      <c r="E4" s="9" t="s">
        <v>17</v>
      </c>
      <c r="F4" s="11">
        <v>44763</v>
      </c>
      <c r="G4" s="12" t="s">
        <v>13</v>
      </c>
    </row>
    <row r="5" spans="1:7" ht="18" customHeight="1" x14ac:dyDescent="0.3">
      <c r="A5" s="5" t="s">
        <v>18</v>
      </c>
      <c r="B5" s="6" t="s">
        <v>19</v>
      </c>
      <c r="C5" s="6" t="s">
        <v>20</v>
      </c>
      <c r="D5" s="5" t="s">
        <v>11</v>
      </c>
      <c r="E5" s="5" t="s">
        <v>21</v>
      </c>
      <c r="F5" s="7">
        <v>44564</v>
      </c>
      <c r="G5" s="8" t="s">
        <v>13</v>
      </c>
    </row>
    <row r="6" spans="1:7" ht="18" customHeight="1" x14ac:dyDescent="0.3">
      <c r="A6" s="9" t="s">
        <v>22</v>
      </c>
      <c r="B6" s="10" t="s">
        <v>23</v>
      </c>
      <c r="C6" s="10" t="s">
        <v>10</v>
      </c>
      <c r="D6" s="9" t="s">
        <v>11</v>
      </c>
      <c r="E6" s="9" t="s">
        <v>12</v>
      </c>
      <c r="F6" s="11">
        <v>44808</v>
      </c>
      <c r="G6" s="12" t="s">
        <v>13</v>
      </c>
    </row>
    <row r="7" spans="1:7" ht="18" customHeight="1" x14ac:dyDescent="0.3">
      <c r="A7" s="5" t="s">
        <v>24</v>
      </c>
      <c r="B7" s="6" t="s">
        <v>25</v>
      </c>
      <c r="C7" s="6" t="s">
        <v>16</v>
      </c>
      <c r="D7" s="5" t="s">
        <v>11</v>
      </c>
      <c r="E7" s="5" t="s">
        <v>17</v>
      </c>
      <c r="F7" s="7">
        <v>44731</v>
      </c>
      <c r="G7" s="8" t="s">
        <v>13</v>
      </c>
    </row>
    <row r="8" spans="1:7" ht="18" customHeight="1" x14ac:dyDescent="0.3">
      <c r="A8" s="9" t="s">
        <v>26</v>
      </c>
      <c r="B8" s="10" t="s">
        <v>27</v>
      </c>
      <c r="C8" s="10" t="s">
        <v>20</v>
      </c>
      <c r="D8" s="9" t="s">
        <v>11</v>
      </c>
      <c r="E8" s="9" t="s">
        <v>21</v>
      </c>
      <c r="F8" s="11">
        <v>44578</v>
      </c>
      <c r="G8" s="12" t="s">
        <v>13</v>
      </c>
    </row>
    <row r="9" spans="1:7" ht="18" customHeight="1" x14ac:dyDescent="0.3">
      <c r="A9" s="5" t="s">
        <v>28</v>
      </c>
      <c r="B9" s="6" t="s">
        <v>29</v>
      </c>
      <c r="C9" s="6" t="s">
        <v>10</v>
      </c>
      <c r="D9" s="5" t="s">
        <v>11</v>
      </c>
      <c r="E9" s="5" t="s">
        <v>12</v>
      </c>
      <c r="F9" s="7">
        <v>44653</v>
      </c>
      <c r="G9" s="8" t="s">
        <v>13</v>
      </c>
    </row>
    <row r="10" spans="1:7" ht="18" customHeight="1" x14ac:dyDescent="0.3">
      <c r="A10" s="9" t="s">
        <v>30</v>
      </c>
      <c r="B10" s="10" t="s">
        <v>31</v>
      </c>
      <c r="C10" s="10" t="s">
        <v>16</v>
      </c>
      <c r="D10" s="9" t="s">
        <v>11</v>
      </c>
      <c r="E10" s="9" t="s">
        <v>17</v>
      </c>
      <c r="F10" s="11">
        <v>44606</v>
      </c>
      <c r="G10" s="12" t="s">
        <v>13</v>
      </c>
    </row>
    <row r="11" spans="1:7" ht="18" customHeight="1" x14ac:dyDescent="0.3">
      <c r="A11" s="5" t="s">
        <v>32</v>
      </c>
      <c r="B11" s="6" t="s">
        <v>33</v>
      </c>
      <c r="C11" s="6" t="s">
        <v>20</v>
      </c>
      <c r="D11" s="5" t="s">
        <v>11</v>
      </c>
      <c r="E11" s="5" t="s">
        <v>21</v>
      </c>
      <c r="F11" s="7">
        <v>44745</v>
      </c>
      <c r="G11" s="8" t="s">
        <v>13</v>
      </c>
    </row>
    <row r="12" spans="1:7" ht="18" customHeight="1" x14ac:dyDescent="0.3">
      <c r="A12" s="9" t="s">
        <v>34</v>
      </c>
      <c r="B12" s="10" t="s">
        <v>35</v>
      </c>
      <c r="C12" s="10" t="s">
        <v>10</v>
      </c>
      <c r="D12" s="9" t="s">
        <v>11</v>
      </c>
      <c r="E12" s="9" t="s">
        <v>12</v>
      </c>
      <c r="F12" s="11">
        <v>44654</v>
      </c>
      <c r="G12" s="12" t="s">
        <v>13</v>
      </c>
    </row>
    <row r="13" spans="1:7" ht="18" customHeight="1" x14ac:dyDescent="0.3">
      <c r="A13" s="5" t="s">
        <v>36</v>
      </c>
      <c r="B13" s="6" t="s">
        <v>37</v>
      </c>
      <c r="C13" s="6" t="s">
        <v>16</v>
      </c>
      <c r="D13" s="5" t="s">
        <v>11</v>
      </c>
      <c r="E13" s="5" t="s">
        <v>17</v>
      </c>
      <c r="F13" s="7">
        <v>44818</v>
      </c>
      <c r="G13" s="8" t="s">
        <v>13</v>
      </c>
    </row>
    <row r="14" spans="1:7" ht="18" customHeight="1" x14ac:dyDescent="0.3">
      <c r="A14" s="9" t="s">
        <v>38</v>
      </c>
      <c r="B14" s="10" t="s">
        <v>39</v>
      </c>
      <c r="C14" s="10" t="s">
        <v>20</v>
      </c>
      <c r="D14" s="9" t="s">
        <v>11</v>
      </c>
      <c r="E14" s="9" t="s">
        <v>21</v>
      </c>
      <c r="F14" s="11">
        <v>44588</v>
      </c>
      <c r="G14" s="12" t="s">
        <v>13</v>
      </c>
    </row>
    <row r="15" spans="1:7" ht="18" customHeight="1" x14ac:dyDescent="0.3">
      <c r="A15" s="5" t="s">
        <v>40</v>
      </c>
      <c r="B15" s="6" t="s">
        <v>41</v>
      </c>
      <c r="C15" s="6" t="s">
        <v>10</v>
      </c>
      <c r="D15" s="5" t="s">
        <v>11</v>
      </c>
      <c r="E15" s="5" t="s">
        <v>12</v>
      </c>
      <c r="F15" s="7">
        <v>44838</v>
      </c>
      <c r="G15" s="8" t="s">
        <v>13</v>
      </c>
    </row>
    <row r="16" spans="1:7" ht="18" customHeight="1" x14ac:dyDescent="0.3">
      <c r="A16" s="9" t="s">
        <v>42</v>
      </c>
      <c r="B16" s="10" t="s">
        <v>43</v>
      </c>
      <c r="C16" s="10" t="s">
        <v>16</v>
      </c>
      <c r="D16" s="9" t="s">
        <v>11</v>
      </c>
      <c r="E16" s="9" t="s">
        <v>17</v>
      </c>
      <c r="F16" s="11">
        <v>44672</v>
      </c>
      <c r="G16" s="12" t="s">
        <v>13</v>
      </c>
    </row>
    <row r="17" spans="1:7" ht="18" customHeight="1" x14ac:dyDescent="0.3">
      <c r="A17" s="5" t="s">
        <v>44</v>
      </c>
      <c r="B17" s="6" t="s">
        <v>45</v>
      </c>
      <c r="C17" s="6" t="s">
        <v>20</v>
      </c>
      <c r="D17" s="5" t="s">
        <v>11</v>
      </c>
      <c r="E17" s="5" t="s">
        <v>21</v>
      </c>
      <c r="F17" s="7">
        <v>44884</v>
      </c>
      <c r="G17" s="8" t="s">
        <v>13</v>
      </c>
    </row>
    <row r="18" spans="1:7" ht="18" customHeight="1" x14ac:dyDescent="0.3">
      <c r="A18" s="9" t="s">
        <v>46</v>
      </c>
      <c r="B18" s="10" t="s">
        <v>47</v>
      </c>
      <c r="C18" s="10" t="s">
        <v>10</v>
      </c>
      <c r="D18" s="9" t="s">
        <v>11</v>
      </c>
      <c r="E18" s="9" t="s">
        <v>12</v>
      </c>
      <c r="F18" s="11">
        <v>44580</v>
      </c>
      <c r="G18" s="12" t="s">
        <v>13</v>
      </c>
    </row>
    <row r="19" spans="1:7" ht="18" customHeight="1" x14ac:dyDescent="0.3">
      <c r="A19" s="5" t="s">
        <v>48</v>
      </c>
      <c r="B19" s="6" t="s">
        <v>49</v>
      </c>
      <c r="C19" s="6" t="s">
        <v>16</v>
      </c>
      <c r="D19" s="5" t="s">
        <v>11</v>
      </c>
      <c r="E19" s="5" t="s">
        <v>17</v>
      </c>
      <c r="F19" s="7">
        <v>44847</v>
      </c>
      <c r="G19" s="8" t="s">
        <v>13</v>
      </c>
    </row>
    <row r="20" spans="1:7" ht="18" customHeight="1" x14ac:dyDescent="0.3">
      <c r="A20" s="9" t="s">
        <v>50</v>
      </c>
      <c r="B20" s="10" t="s">
        <v>51</v>
      </c>
      <c r="C20" s="10" t="s">
        <v>20</v>
      </c>
      <c r="D20" s="9" t="s">
        <v>11</v>
      </c>
      <c r="E20" s="9" t="s">
        <v>21</v>
      </c>
      <c r="F20" s="11">
        <v>44569</v>
      </c>
      <c r="G20" s="12" t="s">
        <v>13</v>
      </c>
    </row>
    <row r="21" spans="1:7" ht="18" customHeight="1" x14ac:dyDescent="0.3">
      <c r="A21" s="5" t="s">
        <v>52</v>
      </c>
      <c r="B21" s="6" t="s">
        <v>53</v>
      </c>
      <c r="C21" s="6" t="s">
        <v>10</v>
      </c>
      <c r="D21" s="5" t="s">
        <v>11</v>
      </c>
      <c r="E21" s="5" t="s">
        <v>12</v>
      </c>
      <c r="F21" s="7">
        <v>44579</v>
      </c>
      <c r="G21" s="8" t="s">
        <v>13</v>
      </c>
    </row>
    <row r="22" spans="1:7" ht="18" customHeight="1" x14ac:dyDescent="0.3">
      <c r="A22" s="9" t="s">
        <v>54</v>
      </c>
      <c r="B22" s="10" t="s">
        <v>55</v>
      </c>
      <c r="C22" s="10" t="s">
        <v>16</v>
      </c>
      <c r="D22" s="9" t="s">
        <v>11</v>
      </c>
      <c r="E22" s="9" t="s">
        <v>17</v>
      </c>
      <c r="F22" s="11">
        <v>44630</v>
      </c>
      <c r="G22" s="12" t="s">
        <v>13</v>
      </c>
    </row>
    <row r="23" spans="1:7" ht="18" customHeight="1" x14ac:dyDescent="0.3">
      <c r="A23" s="5" t="s">
        <v>56</v>
      </c>
      <c r="B23" s="6" t="s">
        <v>57</v>
      </c>
      <c r="C23" s="6" t="s">
        <v>20</v>
      </c>
      <c r="D23" s="5" t="s">
        <v>11</v>
      </c>
      <c r="E23" s="5" t="s">
        <v>21</v>
      </c>
      <c r="F23" s="7">
        <v>44747</v>
      </c>
      <c r="G23" s="8" t="s">
        <v>13</v>
      </c>
    </row>
    <row r="24" spans="1:7" ht="18" customHeight="1" x14ac:dyDescent="0.3">
      <c r="A24" s="9" t="s">
        <v>58</v>
      </c>
      <c r="B24" s="10" t="s">
        <v>59</v>
      </c>
      <c r="C24" s="10" t="s">
        <v>10</v>
      </c>
      <c r="D24" s="9" t="s">
        <v>11</v>
      </c>
      <c r="E24" s="9" t="s">
        <v>12</v>
      </c>
      <c r="F24" s="11">
        <v>44808</v>
      </c>
      <c r="G24" s="12" t="s">
        <v>13</v>
      </c>
    </row>
    <row r="25" spans="1:7" ht="18" customHeight="1" x14ac:dyDescent="0.3">
      <c r="A25" s="5" t="s">
        <v>60</v>
      </c>
      <c r="B25" s="6" t="s">
        <v>61</v>
      </c>
      <c r="C25" s="6" t="s">
        <v>16</v>
      </c>
      <c r="D25" s="5" t="s">
        <v>11</v>
      </c>
      <c r="E25" s="5" t="s">
        <v>17</v>
      </c>
      <c r="F25" s="7">
        <v>44844</v>
      </c>
      <c r="G25" s="8" t="s">
        <v>13</v>
      </c>
    </row>
    <row r="26" spans="1:7" ht="18" customHeight="1" x14ac:dyDescent="0.3">
      <c r="A26" s="9" t="s">
        <v>62</v>
      </c>
      <c r="B26" s="10" t="s">
        <v>63</v>
      </c>
      <c r="C26" s="10" t="s">
        <v>20</v>
      </c>
      <c r="D26" s="9" t="s">
        <v>11</v>
      </c>
      <c r="E26" s="9" t="s">
        <v>21</v>
      </c>
      <c r="F26" s="11">
        <v>44831</v>
      </c>
      <c r="G26" s="12" t="s">
        <v>13</v>
      </c>
    </row>
    <row r="27" spans="1:7" ht="18" customHeight="1" x14ac:dyDescent="0.3">
      <c r="A27" s="5" t="s">
        <v>64</v>
      </c>
      <c r="B27" s="6" t="s">
        <v>65</v>
      </c>
      <c r="C27" s="6" t="s">
        <v>10</v>
      </c>
      <c r="D27" s="5" t="s">
        <v>11</v>
      </c>
      <c r="E27" s="5" t="s">
        <v>12</v>
      </c>
      <c r="F27" s="7">
        <v>44871</v>
      </c>
      <c r="G27" s="8" t="s">
        <v>13</v>
      </c>
    </row>
    <row r="28" spans="1:7" ht="18" customHeight="1" x14ac:dyDescent="0.3">
      <c r="A28" s="9" t="s">
        <v>66</v>
      </c>
      <c r="B28" s="10" t="s">
        <v>67</v>
      </c>
      <c r="C28" s="10" t="s">
        <v>16</v>
      </c>
      <c r="D28" s="9" t="s">
        <v>11</v>
      </c>
      <c r="E28" s="9" t="s">
        <v>17</v>
      </c>
      <c r="F28" s="11">
        <v>44611</v>
      </c>
      <c r="G28" s="12" t="s">
        <v>13</v>
      </c>
    </row>
    <row r="29" spans="1:7" ht="18" customHeight="1" x14ac:dyDescent="0.3">
      <c r="A29" s="5" t="s">
        <v>68</v>
      </c>
      <c r="B29" s="6" t="s">
        <v>69</v>
      </c>
      <c r="C29" s="6" t="s">
        <v>20</v>
      </c>
      <c r="D29" s="5" t="s">
        <v>11</v>
      </c>
      <c r="E29" s="5" t="s">
        <v>21</v>
      </c>
      <c r="F29" s="7">
        <v>44855</v>
      </c>
      <c r="G29" s="8" t="s">
        <v>13</v>
      </c>
    </row>
    <row r="30" spans="1:7" ht="18" customHeight="1" x14ac:dyDescent="0.3">
      <c r="A30" s="9" t="s">
        <v>70</v>
      </c>
      <c r="B30" s="10" t="s">
        <v>71</v>
      </c>
      <c r="C30" s="10" t="s">
        <v>10</v>
      </c>
      <c r="D30" s="9" t="s">
        <v>11</v>
      </c>
      <c r="E30" s="9" t="s">
        <v>12</v>
      </c>
      <c r="F30" s="11">
        <v>44663</v>
      </c>
      <c r="G30" s="12" t="s">
        <v>13</v>
      </c>
    </row>
    <row r="31" spans="1:7" ht="18" customHeight="1" x14ac:dyDescent="0.3">
      <c r="A31" s="5" t="s">
        <v>72</v>
      </c>
      <c r="B31" s="6" t="s">
        <v>73</v>
      </c>
      <c r="C31" s="6" t="s">
        <v>16</v>
      </c>
      <c r="D31" s="5" t="s">
        <v>11</v>
      </c>
      <c r="E31" s="5" t="s">
        <v>17</v>
      </c>
      <c r="F31" s="7">
        <v>44610</v>
      </c>
      <c r="G31" s="8" t="s">
        <v>13</v>
      </c>
    </row>
    <row r="32" spans="1:7" ht="18" customHeight="1" x14ac:dyDescent="0.3">
      <c r="A32" s="9" t="s">
        <v>74</v>
      </c>
      <c r="B32" s="10" t="s">
        <v>75</v>
      </c>
      <c r="C32" s="10" t="s">
        <v>20</v>
      </c>
      <c r="D32" s="9" t="s">
        <v>11</v>
      </c>
      <c r="E32" s="9" t="s">
        <v>21</v>
      </c>
      <c r="F32" s="11">
        <v>44898</v>
      </c>
      <c r="G32" s="12" t="s">
        <v>13</v>
      </c>
    </row>
    <row r="35" spans="1:5" ht="18" customHeight="1" x14ac:dyDescent="0.3">
      <c r="A35" s="13" t="s">
        <v>76</v>
      </c>
      <c r="B35" s="14">
        <f>COUNTA(B3:B32)</f>
        <v>30</v>
      </c>
      <c r="C35" s="14"/>
      <c r="D35" s="13" t="s">
        <v>13</v>
      </c>
      <c r="E35" s="14">
        <f>COUNTIF(G3:G32,"Active")</f>
        <v>30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K40"/>
  <sheetViews>
    <sheetView showGridLines="0"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C33" sqref="C33"/>
    </sheetView>
  </sheetViews>
  <sheetFormatPr defaultColWidth="8.6640625" defaultRowHeight="14.4" x14ac:dyDescent="0.3"/>
  <cols>
    <col min="1" max="1" width="10" customWidth="1"/>
    <col min="2" max="2" width="22" customWidth="1"/>
    <col min="3" max="9" width="14" customWidth="1"/>
    <col min="10" max="11" width="13" customWidth="1"/>
  </cols>
  <sheetData>
    <row r="1" spans="1:11" ht="31.5" customHeight="1" x14ac:dyDescent="0.3">
      <c r="A1" s="3" t="s">
        <v>77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.75" customHeight="1" x14ac:dyDescent="0.3">
      <c r="A2" s="2" t="s">
        <v>78</v>
      </c>
      <c r="B2" s="2"/>
      <c r="C2" s="15" t="s">
        <v>79</v>
      </c>
      <c r="D2" s="16" t="s">
        <v>80</v>
      </c>
      <c r="E2" s="17" t="s">
        <v>81</v>
      </c>
      <c r="F2" s="18" t="s">
        <v>82</v>
      </c>
      <c r="G2" s="19" t="s">
        <v>83</v>
      </c>
    </row>
    <row r="3" spans="1:11" ht="27.75" customHeight="1" x14ac:dyDescent="0.3">
      <c r="A3" s="4" t="s">
        <v>1</v>
      </c>
      <c r="B3" s="4" t="s">
        <v>2</v>
      </c>
      <c r="C3" s="4" t="s">
        <v>84</v>
      </c>
      <c r="D3" s="4" t="s">
        <v>85</v>
      </c>
      <c r="E3" s="4" t="s">
        <v>86</v>
      </c>
      <c r="F3" s="4" t="s">
        <v>87</v>
      </c>
      <c r="G3" s="4" t="s">
        <v>88</v>
      </c>
      <c r="H3" s="4" t="s">
        <v>89</v>
      </c>
      <c r="I3" s="4" t="s">
        <v>90</v>
      </c>
      <c r="J3" s="4" t="s">
        <v>91</v>
      </c>
      <c r="K3" s="4" t="s">
        <v>92</v>
      </c>
    </row>
    <row r="4" spans="1:11" ht="18" customHeight="1" x14ac:dyDescent="0.3">
      <c r="A4" s="5" t="s">
        <v>8</v>
      </c>
      <c r="B4" s="6" t="s">
        <v>9</v>
      </c>
      <c r="C4" s="20" t="s">
        <v>93</v>
      </c>
      <c r="D4" s="20" t="s">
        <v>93</v>
      </c>
      <c r="E4" s="21" t="s">
        <v>94</v>
      </c>
      <c r="F4" s="20" t="s">
        <v>93</v>
      </c>
      <c r="G4" s="20" t="s">
        <v>93</v>
      </c>
      <c r="H4" s="20" t="s">
        <v>93</v>
      </c>
      <c r="I4" s="22" t="s">
        <v>95</v>
      </c>
      <c r="J4" s="23">
        <f t="shared" ref="J4:J33" si="0">7-COUNTIF(C4:I4,"W")-COUNTIF(C4:I4,"L")</f>
        <v>5</v>
      </c>
      <c r="K4" s="24" t="s">
        <v>96</v>
      </c>
    </row>
    <row r="5" spans="1:11" ht="18" customHeight="1" x14ac:dyDescent="0.3">
      <c r="A5" s="9" t="s">
        <v>14</v>
      </c>
      <c r="B5" s="10" t="s">
        <v>15</v>
      </c>
      <c r="C5" s="25" t="s">
        <v>97</v>
      </c>
      <c r="D5" s="25" t="s">
        <v>97</v>
      </c>
      <c r="E5" s="25" t="s">
        <v>97</v>
      </c>
      <c r="F5" s="25" t="s">
        <v>97</v>
      </c>
      <c r="G5" s="25" t="s">
        <v>97</v>
      </c>
      <c r="H5" s="25" t="s">
        <v>97</v>
      </c>
      <c r="I5" s="22" t="s">
        <v>95</v>
      </c>
      <c r="J5" s="26">
        <f t="shared" si="0"/>
        <v>6</v>
      </c>
      <c r="K5" s="24" t="s">
        <v>96</v>
      </c>
    </row>
    <row r="6" spans="1:11" ht="18" customHeight="1" x14ac:dyDescent="0.3">
      <c r="A6" s="5" t="s">
        <v>18</v>
      </c>
      <c r="B6" s="6" t="s">
        <v>19</v>
      </c>
      <c r="C6" s="27" t="s">
        <v>98</v>
      </c>
      <c r="D6" s="27" t="s">
        <v>98</v>
      </c>
      <c r="E6" s="27" t="s">
        <v>98</v>
      </c>
      <c r="F6" s="27" t="s">
        <v>98</v>
      </c>
      <c r="G6" s="27" t="s">
        <v>98</v>
      </c>
      <c r="H6" s="27" t="s">
        <v>98</v>
      </c>
      <c r="I6" s="22" t="s">
        <v>95</v>
      </c>
      <c r="J6" s="23">
        <f t="shared" si="0"/>
        <v>6</v>
      </c>
      <c r="K6" s="24" t="s">
        <v>96</v>
      </c>
    </row>
    <row r="7" spans="1:11" ht="18" customHeight="1" x14ac:dyDescent="0.3">
      <c r="A7" s="9" t="s">
        <v>22</v>
      </c>
      <c r="B7" s="10" t="s">
        <v>23</v>
      </c>
      <c r="C7" s="20" t="s">
        <v>93</v>
      </c>
      <c r="D7" s="20" t="s">
        <v>93</v>
      </c>
      <c r="E7" s="20" t="s">
        <v>93</v>
      </c>
      <c r="F7" s="20" t="s">
        <v>93</v>
      </c>
      <c r="G7" s="20" t="s">
        <v>93</v>
      </c>
      <c r="H7" s="20" t="s">
        <v>93</v>
      </c>
      <c r="I7" s="22" t="s">
        <v>95</v>
      </c>
      <c r="J7" s="26">
        <f t="shared" si="0"/>
        <v>6</v>
      </c>
      <c r="K7" s="24" t="s">
        <v>96</v>
      </c>
    </row>
    <row r="8" spans="1:11" ht="18" customHeight="1" x14ac:dyDescent="0.3">
      <c r="A8" s="5" t="s">
        <v>24</v>
      </c>
      <c r="B8" s="6" t="s">
        <v>25</v>
      </c>
      <c r="C8" s="25" t="s">
        <v>97</v>
      </c>
      <c r="D8" s="25" t="s">
        <v>97</v>
      </c>
      <c r="E8" s="25" t="s">
        <v>97</v>
      </c>
      <c r="F8" s="25" t="s">
        <v>97</v>
      </c>
      <c r="G8" s="25" t="s">
        <v>97</v>
      </c>
      <c r="H8" s="25" t="s">
        <v>97</v>
      </c>
      <c r="I8" s="22" t="s">
        <v>95</v>
      </c>
      <c r="J8" s="23">
        <f t="shared" si="0"/>
        <v>6</v>
      </c>
      <c r="K8" s="24" t="s">
        <v>96</v>
      </c>
    </row>
    <row r="9" spans="1:11" ht="18" customHeight="1" x14ac:dyDescent="0.3">
      <c r="A9" s="9" t="s">
        <v>26</v>
      </c>
      <c r="B9" s="10" t="s">
        <v>27</v>
      </c>
      <c r="C9" s="27" t="s">
        <v>98</v>
      </c>
      <c r="D9" s="27" t="s">
        <v>98</v>
      </c>
      <c r="E9" s="27" t="s">
        <v>98</v>
      </c>
      <c r="F9" s="27" t="s">
        <v>98</v>
      </c>
      <c r="G9" s="27" t="s">
        <v>98</v>
      </c>
      <c r="H9" s="27" t="s">
        <v>98</v>
      </c>
      <c r="I9" s="22" t="s">
        <v>95</v>
      </c>
      <c r="J9" s="26">
        <f t="shared" si="0"/>
        <v>6</v>
      </c>
      <c r="K9" s="24" t="s">
        <v>96</v>
      </c>
    </row>
    <row r="10" spans="1:11" ht="18" customHeight="1" x14ac:dyDescent="0.3">
      <c r="A10" s="5" t="s">
        <v>28</v>
      </c>
      <c r="B10" s="6" t="s">
        <v>29</v>
      </c>
      <c r="C10" s="21" t="s">
        <v>94</v>
      </c>
      <c r="D10" s="20" t="s">
        <v>93</v>
      </c>
      <c r="E10" s="20" t="s">
        <v>93</v>
      </c>
      <c r="F10" s="20" t="s">
        <v>93</v>
      </c>
      <c r="G10" s="20" t="s">
        <v>93</v>
      </c>
      <c r="H10" s="20" t="s">
        <v>93</v>
      </c>
      <c r="I10" s="22" t="s">
        <v>95</v>
      </c>
      <c r="J10" s="23">
        <f t="shared" si="0"/>
        <v>5</v>
      </c>
      <c r="K10" s="24" t="s">
        <v>96</v>
      </c>
    </row>
    <row r="11" spans="1:11" ht="18" customHeight="1" x14ac:dyDescent="0.3">
      <c r="A11" s="9" t="s">
        <v>30</v>
      </c>
      <c r="B11" s="10" t="s">
        <v>31</v>
      </c>
      <c r="C11" s="25" t="s">
        <v>97</v>
      </c>
      <c r="D11" s="25" t="s">
        <v>97</v>
      </c>
      <c r="E11" s="25" t="s">
        <v>97</v>
      </c>
      <c r="F11" s="25" t="s">
        <v>97</v>
      </c>
      <c r="G11" s="25" t="s">
        <v>97</v>
      </c>
      <c r="H11" s="25" t="s">
        <v>97</v>
      </c>
      <c r="I11" s="22" t="s">
        <v>95</v>
      </c>
      <c r="J11" s="26">
        <f t="shared" si="0"/>
        <v>6</v>
      </c>
      <c r="K11" s="24" t="s">
        <v>96</v>
      </c>
    </row>
    <row r="12" spans="1:11" ht="18" customHeight="1" x14ac:dyDescent="0.3">
      <c r="A12" s="5" t="s">
        <v>32</v>
      </c>
      <c r="B12" s="6" t="s">
        <v>33</v>
      </c>
      <c r="C12" s="27" t="s">
        <v>98</v>
      </c>
      <c r="D12" s="27" t="s">
        <v>98</v>
      </c>
      <c r="E12" s="27" t="s">
        <v>98</v>
      </c>
      <c r="F12" s="27" t="s">
        <v>98</v>
      </c>
      <c r="G12" s="27" t="s">
        <v>98</v>
      </c>
      <c r="H12" s="27" t="s">
        <v>98</v>
      </c>
      <c r="I12" s="22" t="s">
        <v>95</v>
      </c>
      <c r="J12" s="23">
        <f t="shared" si="0"/>
        <v>6</v>
      </c>
      <c r="K12" s="24" t="s">
        <v>96</v>
      </c>
    </row>
    <row r="13" spans="1:11" ht="18" customHeight="1" x14ac:dyDescent="0.3">
      <c r="A13" s="9" t="s">
        <v>34</v>
      </c>
      <c r="B13" s="10" t="s">
        <v>35</v>
      </c>
      <c r="C13" s="20" t="s">
        <v>93</v>
      </c>
      <c r="D13" s="20" t="s">
        <v>93</v>
      </c>
      <c r="E13" s="20" t="s">
        <v>93</v>
      </c>
      <c r="F13" s="20" t="s">
        <v>93</v>
      </c>
      <c r="G13" s="20" t="s">
        <v>93</v>
      </c>
      <c r="H13" s="20" t="s">
        <v>93</v>
      </c>
      <c r="I13" s="22" t="s">
        <v>95</v>
      </c>
      <c r="J13" s="26">
        <f t="shared" si="0"/>
        <v>6</v>
      </c>
      <c r="K13" s="24" t="s">
        <v>96</v>
      </c>
    </row>
    <row r="14" spans="1:11" ht="18" customHeight="1" x14ac:dyDescent="0.3">
      <c r="A14" s="5" t="s">
        <v>36</v>
      </c>
      <c r="B14" s="6" t="s">
        <v>37</v>
      </c>
      <c r="C14" s="25" t="s">
        <v>97</v>
      </c>
      <c r="D14" s="25" t="s">
        <v>97</v>
      </c>
      <c r="E14" s="25" t="s">
        <v>97</v>
      </c>
      <c r="F14" s="25" t="s">
        <v>97</v>
      </c>
      <c r="G14" s="25" t="s">
        <v>97</v>
      </c>
      <c r="H14" s="25" t="s">
        <v>97</v>
      </c>
      <c r="I14" s="22" t="s">
        <v>95</v>
      </c>
      <c r="J14" s="23">
        <f t="shared" si="0"/>
        <v>6</v>
      </c>
      <c r="K14" s="24" t="s">
        <v>96</v>
      </c>
    </row>
    <row r="15" spans="1:11" ht="18" customHeight="1" x14ac:dyDescent="0.3">
      <c r="A15" s="9" t="s">
        <v>38</v>
      </c>
      <c r="B15" s="10" t="s">
        <v>39</v>
      </c>
      <c r="C15" s="27" t="s">
        <v>98</v>
      </c>
      <c r="D15" s="27" t="s">
        <v>98</v>
      </c>
      <c r="E15" s="27" t="s">
        <v>98</v>
      </c>
      <c r="F15" s="27" t="s">
        <v>98</v>
      </c>
      <c r="G15" s="27" t="s">
        <v>98</v>
      </c>
      <c r="H15" s="27" t="s">
        <v>98</v>
      </c>
      <c r="I15" s="22" t="s">
        <v>95</v>
      </c>
      <c r="J15" s="26">
        <f t="shared" si="0"/>
        <v>6</v>
      </c>
      <c r="K15" s="24" t="s">
        <v>96</v>
      </c>
    </row>
    <row r="16" spans="1:11" ht="18" customHeight="1" x14ac:dyDescent="0.3">
      <c r="A16" s="5" t="s">
        <v>40</v>
      </c>
      <c r="B16" s="6" t="s">
        <v>41</v>
      </c>
      <c r="C16" s="20" t="s">
        <v>93</v>
      </c>
      <c r="D16" s="21" t="s">
        <v>94</v>
      </c>
      <c r="E16" s="20" t="s">
        <v>93</v>
      </c>
      <c r="F16" s="20" t="s">
        <v>93</v>
      </c>
      <c r="G16" s="20" t="s">
        <v>93</v>
      </c>
      <c r="H16" s="20" t="s">
        <v>93</v>
      </c>
      <c r="I16" s="22" t="s">
        <v>95</v>
      </c>
      <c r="J16" s="23">
        <f t="shared" si="0"/>
        <v>5</v>
      </c>
      <c r="K16" s="24" t="s">
        <v>96</v>
      </c>
    </row>
    <row r="17" spans="1:11" ht="18" customHeight="1" x14ac:dyDescent="0.3">
      <c r="A17" s="9" t="s">
        <v>42</v>
      </c>
      <c r="B17" s="10" t="s">
        <v>43</v>
      </c>
      <c r="C17" s="25" t="s">
        <v>97</v>
      </c>
      <c r="D17" s="25" t="s">
        <v>97</v>
      </c>
      <c r="E17" s="25" t="s">
        <v>97</v>
      </c>
      <c r="F17" s="25" t="s">
        <v>97</v>
      </c>
      <c r="G17" s="25" t="s">
        <v>97</v>
      </c>
      <c r="H17" s="25" t="s">
        <v>97</v>
      </c>
      <c r="I17" s="22" t="s">
        <v>95</v>
      </c>
      <c r="J17" s="26">
        <f t="shared" si="0"/>
        <v>6</v>
      </c>
      <c r="K17" s="24" t="s">
        <v>96</v>
      </c>
    </row>
    <row r="18" spans="1:11" ht="18" customHeight="1" x14ac:dyDescent="0.3">
      <c r="A18" s="5" t="s">
        <v>44</v>
      </c>
      <c r="B18" s="6" t="s">
        <v>45</v>
      </c>
      <c r="C18" s="27" t="s">
        <v>98</v>
      </c>
      <c r="D18" s="27" t="s">
        <v>98</v>
      </c>
      <c r="E18" s="27" t="s">
        <v>98</v>
      </c>
      <c r="F18" s="27" t="s">
        <v>98</v>
      </c>
      <c r="G18" s="27" t="s">
        <v>98</v>
      </c>
      <c r="H18" s="27" t="s">
        <v>98</v>
      </c>
      <c r="I18" s="22" t="s">
        <v>95</v>
      </c>
      <c r="J18" s="23">
        <f t="shared" si="0"/>
        <v>6</v>
      </c>
      <c r="K18" s="24" t="s">
        <v>96</v>
      </c>
    </row>
    <row r="19" spans="1:11" ht="18" customHeight="1" x14ac:dyDescent="0.3">
      <c r="A19" s="9" t="s">
        <v>46</v>
      </c>
      <c r="B19" s="10" t="s">
        <v>47</v>
      </c>
      <c r="C19" s="20" t="s">
        <v>93</v>
      </c>
      <c r="D19" s="20" t="s">
        <v>93</v>
      </c>
      <c r="E19" s="20" t="s">
        <v>93</v>
      </c>
      <c r="F19" s="20" t="s">
        <v>93</v>
      </c>
      <c r="G19" s="20" t="s">
        <v>93</v>
      </c>
      <c r="H19" s="20" t="s">
        <v>93</v>
      </c>
      <c r="I19" s="22" t="s">
        <v>95</v>
      </c>
      <c r="J19" s="26">
        <f t="shared" si="0"/>
        <v>6</v>
      </c>
      <c r="K19" s="24" t="s">
        <v>96</v>
      </c>
    </row>
    <row r="20" spans="1:11" ht="18" customHeight="1" x14ac:dyDescent="0.3">
      <c r="A20" s="5" t="s">
        <v>48</v>
      </c>
      <c r="B20" s="6" t="s">
        <v>49</v>
      </c>
      <c r="C20" s="25" t="s">
        <v>97</v>
      </c>
      <c r="D20" s="25" t="s">
        <v>97</v>
      </c>
      <c r="E20" s="25" t="s">
        <v>97</v>
      </c>
      <c r="F20" s="25" t="s">
        <v>97</v>
      </c>
      <c r="G20" s="25" t="s">
        <v>97</v>
      </c>
      <c r="H20" s="25" t="s">
        <v>97</v>
      </c>
      <c r="I20" s="22" t="s">
        <v>95</v>
      </c>
      <c r="J20" s="23">
        <f t="shared" si="0"/>
        <v>6</v>
      </c>
      <c r="K20" s="24" t="s">
        <v>96</v>
      </c>
    </row>
    <row r="21" spans="1:11" ht="18" customHeight="1" x14ac:dyDescent="0.3">
      <c r="A21" s="9" t="s">
        <v>50</v>
      </c>
      <c r="B21" s="10" t="s">
        <v>51</v>
      </c>
      <c r="C21" s="27" t="s">
        <v>98</v>
      </c>
      <c r="D21" s="27" t="s">
        <v>98</v>
      </c>
      <c r="E21" s="27" t="s">
        <v>98</v>
      </c>
      <c r="F21" s="27" t="s">
        <v>98</v>
      </c>
      <c r="G21" s="27" t="s">
        <v>98</v>
      </c>
      <c r="H21" s="27" t="s">
        <v>98</v>
      </c>
      <c r="I21" s="22" t="s">
        <v>95</v>
      </c>
      <c r="J21" s="26">
        <f t="shared" si="0"/>
        <v>6</v>
      </c>
      <c r="K21" s="24" t="s">
        <v>96</v>
      </c>
    </row>
    <row r="22" spans="1:11" ht="18" customHeight="1" x14ac:dyDescent="0.3">
      <c r="A22" s="5" t="s">
        <v>52</v>
      </c>
      <c r="B22" s="6" t="s">
        <v>53</v>
      </c>
      <c r="C22" s="20" t="s">
        <v>93</v>
      </c>
      <c r="D22" s="20" t="s">
        <v>93</v>
      </c>
      <c r="E22" s="20" t="s">
        <v>93</v>
      </c>
      <c r="F22" s="21" t="s">
        <v>94</v>
      </c>
      <c r="G22" s="20" t="s">
        <v>93</v>
      </c>
      <c r="H22" s="20" t="s">
        <v>93</v>
      </c>
      <c r="I22" s="22" t="s">
        <v>95</v>
      </c>
      <c r="J22" s="23">
        <f t="shared" si="0"/>
        <v>5</v>
      </c>
      <c r="K22" s="24" t="s">
        <v>96</v>
      </c>
    </row>
    <row r="23" spans="1:11" ht="18" customHeight="1" x14ac:dyDescent="0.3">
      <c r="A23" s="9" t="s">
        <v>54</v>
      </c>
      <c r="B23" s="10" t="s">
        <v>55</v>
      </c>
      <c r="C23" s="25" t="s">
        <v>97</v>
      </c>
      <c r="D23" s="25" t="s">
        <v>97</v>
      </c>
      <c r="E23" s="25" t="s">
        <v>97</v>
      </c>
      <c r="F23" s="25" t="s">
        <v>97</v>
      </c>
      <c r="G23" s="25" t="s">
        <v>97</v>
      </c>
      <c r="H23" s="25" t="s">
        <v>97</v>
      </c>
      <c r="I23" s="22" t="s">
        <v>95</v>
      </c>
      <c r="J23" s="26">
        <f t="shared" si="0"/>
        <v>6</v>
      </c>
      <c r="K23" s="24" t="s">
        <v>96</v>
      </c>
    </row>
    <row r="24" spans="1:11" ht="18" customHeight="1" x14ac:dyDescent="0.3">
      <c r="A24" s="5" t="s">
        <v>56</v>
      </c>
      <c r="B24" s="6" t="s">
        <v>57</v>
      </c>
      <c r="C24" s="27" t="s">
        <v>98</v>
      </c>
      <c r="D24" s="27" t="s">
        <v>98</v>
      </c>
      <c r="E24" s="27" t="s">
        <v>98</v>
      </c>
      <c r="F24" s="27" t="s">
        <v>98</v>
      </c>
      <c r="G24" s="27" t="s">
        <v>98</v>
      </c>
      <c r="H24" s="27" t="s">
        <v>98</v>
      </c>
      <c r="I24" s="22" t="s">
        <v>95</v>
      </c>
      <c r="J24" s="23">
        <f t="shared" si="0"/>
        <v>6</v>
      </c>
      <c r="K24" s="24" t="s">
        <v>96</v>
      </c>
    </row>
    <row r="25" spans="1:11" ht="18" customHeight="1" x14ac:dyDescent="0.3">
      <c r="A25" s="9" t="s">
        <v>58</v>
      </c>
      <c r="B25" s="10" t="s">
        <v>59</v>
      </c>
      <c r="C25" s="20" t="s">
        <v>93</v>
      </c>
      <c r="D25" s="20" t="s">
        <v>93</v>
      </c>
      <c r="E25" s="20" t="s">
        <v>93</v>
      </c>
      <c r="F25" s="20" t="s">
        <v>93</v>
      </c>
      <c r="G25" s="20" t="s">
        <v>93</v>
      </c>
      <c r="H25" s="20" t="s">
        <v>93</v>
      </c>
      <c r="I25" s="22" t="s">
        <v>95</v>
      </c>
      <c r="J25" s="26">
        <f t="shared" si="0"/>
        <v>6</v>
      </c>
      <c r="K25" s="24" t="s">
        <v>96</v>
      </c>
    </row>
    <row r="26" spans="1:11" ht="18" customHeight="1" x14ac:dyDescent="0.3">
      <c r="A26" s="5" t="s">
        <v>60</v>
      </c>
      <c r="B26" s="6" t="s">
        <v>61</v>
      </c>
      <c r="C26" s="25" t="s">
        <v>97</v>
      </c>
      <c r="D26" s="25" t="s">
        <v>97</v>
      </c>
      <c r="E26" s="25" t="s">
        <v>97</v>
      </c>
      <c r="F26" s="25" t="s">
        <v>97</v>
      </c>
      <c r="G26" s="25" t="s">
        <v>97</v>
      </c>
      <c r="H26" s="25" t="s">
        <v>97</v>
      </c>
      <c r="I26" s="22" t="s">
        <v>95</v>
      </c>
      <c r="J26" s="23">
        <f t="shared" si="0"/>
        <v>6</v>
      </c>
      <c r="K26" s="24" t="s">
        <v>96</v>
      </c>
    </row>
    <row r="27" spans="1:11" ht="18" customHeight="1" x14ac:dyDescent="0.3">
      <c r="A27" s="9" t="s">
        <v>62</v>
      </c>
      <c r="B27" s="10" t="s">
        <v>63</v>
      </c>
      <c r="C27" s="27" t="s">
        <v>98</v>
      </c>
      <c r="D27" s="27" t="s">
        <v>98</v>
      </c>
      <c r="E27" s="27" t="s">
        <v>98</v>
      </c>
      <c r="F27" s="27" t="s">
        <v>98</v>
      </c>
      <c r="G27" s="27" t="s">
        <v>98</v>
      </c>
      <c r="H27" s="27" t="s">
        <v>98</v>
      </c>
      <c r="I27" s="22" t="s">
        <v>95</v>
      </c>
      <c r="J27" s="26">
        <f t="shared" si="0"/>
        <v>6</v>
      </c>
      <c r="K27" s="24" t="s">
        <v>96</v>
      </c>
    </row>
    <row r="28" spans="1:11" ht="18" customHeight="1" x14ac:dyDescent="0.3">
      <c r="A28" s="5" t="s">
        <v>64</v>
      </c>
      <c r="B28" s="6" t="s">
        <v>65</v>
      </c>
      <c r="C28" s="20" t="s">
        <v>93</v>
      </c>
      <c r="D28" s="20" t="s">
        <v>93</v>
      </c>
      <c r="E28" s="20" t="s">
        <v>93</v>
      </c>
      <c r="F28" s="21" t="s">
        <v>94</v>
      </c>
      <c r="G28" s="20" t="s">
        <v>93</v>
      </c>
      <c r="H28" s="20" t="s">
        <v>93</v>
      </c>
      <c r="I28" s="22" t="s">
        <v>95</v>
      </c>
      <c r="J28" s="23">
        <f t="shared" si="0"/>
        <v>5</v>
      </c>
      <c r="K28" s="24" t="s">
        <v>96</v>
      </c>
    </row>
    <row r="29" spans="1:11" ht="18" customHeight="1" x14ac:dyDescent="0.3">
      <c r="A29" s="9" t="s">
        <v>66</v>
      </c>
      <c r="B29" s="10" t="s">
        <v>67</v>
      </c>
      <c r="C29" s="25" t="s">
        <v>97</v>
      </c>
      <c r="D29" s="25" t="s">
        <v>97</v>
      </c>
      <c r="E29" s="25" t="s">
        <v>97</v>
      </c>
      <c r="F29" s="25" t="s">
        <v>97</v>
      </c>
      <c r="G29" s="25" t="s">
        <v>97</v>
      </c>
      <c r="H29" s="25" t="s">
        <v>97</v>
      </c>
      <c r="I29" s="22" t="s">
        <v>95</v>
      </c>
      <c r="J29" s="26">
        <f t="shared" si="0"/>
        <v>6</v>
      </c>
      <c r="K29" s="24" t="s">
        <v>96</v>
      </c>
    </row>
    <row r="30" spans="1:11" ht="18" customHeight="1" x14ac:dyDescent="0.3">
      <c r="A30" s="5" t="s">
        <v>68</v>
      </c>
      <c r="B30" s="6" t="s">
        <v>69</v>
      </c>
      <c r="C30" s="27" t="s">
        <v>98</v>
      </c>
      <c r="D30" s="27" t="s">
        <v>98</v>
      </c>
      <c r="E30" s="27" t="s">
        <v>98</v>
      </c>
      <c r="F30" s="27" t="s">
        <v>98</v>
      </c>
      <c r="G30" s="27" t="s">
        <v>98</v>
      </c>
      <c r="H30" s="27" t="s">
        <v>98</v>
      </c>
      <c r="I30" s="22" t="s">
        <v>95</v>
      </c>
      <c r="J30" s="23">
        <f t="shared" si="0"/>
        <v>6</v>
      </c>
      <c r="K30" s="24" t="s">
        <v>96</v>
      </c>
    </row>
    <row r="31" spans="1:11" ht="18" customHeight="1" x14ac:dyDescent="0.3">
      <c r="A31" s="9" t="s">
        <v>70</v>
      </c>
      <c r="B31" s="10" t="s">
        <v>71</v>
      </c>
      <c r="C31" s="20" t="s">
        <v>93</v>
      </c>
      <c r="D31" s="20" t="s">
        <v>93</v>
      </c>
      <c r="E31" s="20" t="s">
        <v>93</v>
      </c>
      <c r="F31" s="20" t="s">
        <v>93</v>
      </c>
      <c r="G31" s="20" t="s">
        <v>93</v>
      </c>
      <c r="H31" s="20" t="s">
        <v>93</v>
      </c>
      <c r="I31" s="22" t="s">
        <v>95</v>
      </c>
      <c r="J31" s="26">
        <f t="shared" si="0"/>
        <v>6</v>
      </c>
      <c r="K31" s="24" t="s">
        <v>96</v>
      </c>
    </row>
    <row r="32" spans="1:11" ht="18" customHeight="1" x14ac:dyDescent="0.3">
      <c r="A32" s="5" t="s">
        <v>72</v>
      </c>
      <c r="B32" s="6" t="s">
        <v>73</v>
      </c>
      <c r="C32" s="25" t="s">
        <v>97</v>
      </c>
      <c r="D32" s="25" t="s">
        <v>97</v>
      </c>
      <c r="E32" s="25" t="s">
        <v>97</v>
      </c>
      <c r="F32" s="25" t="s">
        <v>97</v>
      </c>
      <c r="G32" s="25" t="s">
        <v>97</v>
      </c>
      <c r="H32" s="25" t="s">
        <v>97</v>
      </c>
      <c r="I32" s="22" t="s">
        <v>95</v>
      </c>
      <c r="J32" s="23">
        <f t="shared" si="0"/>
        <v>6</v>
      </c>
      <c r="K32" s="24" t="s">
        <v>96</v>
      </c>
    </row>
    <row r="33" spans="1:11" ht="18" customHeight="1" x14ac:dyDescent="0.3">
      <c r="A33" s="9" t="s">
        <v>74</v>
      </c>
      <c r="B33" s="10" t="s">
        <v>75</v>
      </c>
      <c r="C33" s="27" t="s">
        <v>98</v>
      </c>
      <c r="D33" s="27" t="s">
        <v>98</v>
      </c>
      <c r="E33" s="27" t="s">
        <v>98</v>
      </c>
      <c r="F33" s="27" t="s">
        <v>98</v>
      </c>
      <c r="G33" s="27" t="s">
        <v>98</v>
      </c>
      <c r="H33" s="27" t="s">
        <v>98</v>
      </c>
      <c r="I33" s="22" t="s">
        <v>95</v>
      </c>
      <c r="J33" s="26">
        <f t="shared" si="0"/>
        <v>6</v>
      </c>
      <c r="K33" s="24" t="s">
        <v>96</v>
      </c>
    </row>
    <row r="35" spans="1:11" ht="21.75" customHeight="1" x14ac:dyDescent="0.3">
      <c r="A35" s="1" t="s">
        <v>99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8" customHeight="1" x14ac:dyDescent="0.3">
      <c r="A36" s="28" t="s">
        <v>100</v>
      </c>
      <c r="B36" s="29" t="s">
        <v>101</v>
      </c>
      <c r="C36" s="20">
        <f t="shared" ref="C36:I36" si="1">COUNTIF(C4:C33,"M")</f>
        <v>9</v>
      </c>
      <c r="D36" s="20">
        <f t="shared" si="1"/>
        <v>9</v>
      </c>
      <c r="E36" s="20">
        <f t="shared" si="1"/>
        <v>9</v>
      </c>
      <c r="F36" s="20">
        <f t="shared" si="1"/>
        <v>8</v>
      </c>
      <c r="G36" s="20">
        <f t="shared" si="1"/>
        <v>10</v>
      </c>
      <c r="H36" s="20">
        <f t="shared" si="1"/>
        <v>10</v>
      </c>
      <c r="I36" s="20">
        <f t="shared" si="1"/>
        <v>0</v>
      </c>
      <c r="J36" s="30"/>
      <c r="K36" s="30"/>
    </row>
    <row r="37" spans="1:11" ht="18" customHeight="1" x14ac:dyDescent="0.3">
      <c r="A37" s="31" t="s">
        <v>102</v>
      </c>
      <c r="B37" s="32" t="s">
        <v>101</v>
      </c>
      <c r="C37" s="25">
        <f t="shared" ref="C37:I37" si="2">COUNTIF(C4:C33,"A")</f>
        <v>10</v>
      </c>
      <c r="D37" s="25">
        <f t="shared" si="2"/>
        <v>10</v>
      </c>
      <c r="E37" s="25">
        <f t="shared" si="2"/>
        <v>10</v>
      </c>
      <c r="F37" s="25">
        <f t="shared" si="2"/>
        <v>10</v>
      </c>
      <c r="G37" s="25">
        <f t="shared" si="2"/>
        <v>10</v>
      </c>
      <c r="H37" s="25">
        <f t="shared" si="2"/>
        <v>10</v>
      </c>
      <c r="I37" s="25">
        <f t="shared" si="2"/>
        <v>0</v>
      </c>
      <c r="J37" s="33"/>
      <c r="K37" s="33"/>
    </row>
    <row r="38" spans="1:11" ht="18" customHeight="1" x14ac:dyDescent="0.3">
      <c r="A38" s="34" t="s">
        <v>103</v>
      </c>
      <c r="B38" s="35" t="s">
        <v>104</v>
      </c>
      <c r="C38" s="27">
        <f t="shared" ref="C38:I38" si="3">COUNTIF(C4:C33,"N")</f>
        <v>10</v>
      </c>
      <c r="D38" s="27">
        <f t="shared" si="3"/>
        <v>10</v>
      </c>
      <c r="E38" s="27">
        <f t="shared" si="3"/>
        <v>10</v>
      </c>
      <c r="F38" s="27">
        <f t="shared" si="3"/>
        <v>10</v>
      </c>
      <c r="G38" s="27">
        <f t="shared" si="3"/>
        <v>10</v>
      </c>
      <c r="H38" s="27">
        <f t="shared" si="3"/>
        <v>10</v>
      </c>
      <c r="I38" s="27">
        <f t="shared" si="3"/>
        <v>0</v>
      </c>
      <c r="J38" s="36"/>
      <c r="K38" s="36"/>
    </row>
    <row r="39" spans="1:11" ht="18" customHeight="1" x14ac:dyDescent="0.3">
      <c r="A39" s="37" t="s">
        <v>105</v>
      </c>
      <c r="B39" s="38" t="s">
        <v>106</v>
      </c>
      <c r="C39" s="22">
        <f t="shared" ref="C39:I39" si="4">COUNTIF(C4:C33,"W")</f>
        <v>0</v>
      </c>
      <c r="D39" s="22">
        <f t="shared" si="4"/>
        <v>0</v>
      </c>
      <c r="E39" s="22">
        <f t="shared" si="4"/>
        <v>0</v>
      </c>
      <c r="F39" s="22">
        <f t="shared" si="4"/>
        <v>0</v>
      </c>
      <c r="G39" s="22">
        <f t="shared" si="4"/>
        <v>0</v>
      </c>
      <c r="H39" s="22">
        <f t="shared" si="4"/>
        <v>0</v>
      </c>
      <c r="I39" s="22">
        <f t="shared" si="4"/>
        <v>30</v>
      </c>
      <c r="J39" s="39"/>
      <c r="K39" s="39"/>
    </row>
    <row r="40" spans="1:11" ht="18" customHeight="1" x14ac:dyDescent="0.3">
      <c r="A40" s="40" t="s">
        <v>107</v>
      </c>
      <c r="B40" s="41" t="s">
        <v>106</v>
      </c>
      <c r="C40" s="21">
        <f t="shared" ref="C40:I40" si="5">COUNTIF(C4:C33,"L")</f>
        <v>1</v>
      </c>
      <c r="D40" s="21">
        <f t="shared" si="5"/>
        <v>1</v>
      </c>
      <c r="E40" s="21">
        <f t="shared" si="5"/>
        <v>1</v>
      </c>
      <c r="F40" s="21">
        <f t="shared" si="5"/>
        <v>2</v>
      </c>
      <c r="G40" s="21">
        <f t="shared" si="5"/>
        <v>0</v>
      </c>
      <c r="H40" s="21">
        <f t="shared" si="5"/>
        <v>0</v>
      </c>
      <c r="I40" s="21">
        <f t="shared" si="5"/>
        <v>0</v>
      </c>
      <c r="J40" s="42"/>
      <c r="K40" s="42"/>
    </row>
  </sheetData>
  <mergeCells count="3">
    <mergeCell ref="A1:K1"/>
    <mergeCell ref="A2:B2"/>
    <mergeCell ref="A35:K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B942"/>
  </sheetPr>
  <dimension ref="A1:J14"/>
  <sheetViews>
    <sheetView showGridLines="0" zoomScaleNormal="100" workbookViewId="0">
      <selection activeCell="J5" sqref="J5"/>
    </sheetView>
  </sheetViews>
  <sheetFormatPr defaultColWidth="8.6640625" defaultRowHeight="14.4" x14ac:dyDescent="0.3"/>
  <cols>
    <col min="1" max="2" width="12" customWidth="1"/>
    <col min="3" max="10" width="14" customWidth="1"/>
  </cols>
  <sheetData>
    <row r="1" spans="1:10" ht="31.5" customHeight="1" x14ac:dyDescent="0.3">
      <c r="A1" s="3" t="s">
        <v>108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">
      <c r="A2" s="4" t="s">
        <v>109</v>
      </c>
      <c r="B2" s="4" t="s">
        <v>110</v>
      </c>
      <c r="C2" s="4" t="s">
        <v>84</v>
      </c>
      <c r="D2" s="4" t="s">
        <v>85</v>
      </c>
      <c r="E2" s="4" t="s">
        <v>86</v>
      </c>
      <c r="F2" s="4" t="s">
        <v>87</v>
      </c>
      <c r="G2" s="4" t="s">
        <v>88</v>
      </c>
      <c r="H2" s="4" t="s">
        <v>89</v>
      </c>
      <c r="I2" s="4" t="s">
        <v>90</v>
      </c>
      <c r="J2" s="4" t="s">
        <v>111</v>
      </c>
    </row>
    <row r="3" spans="1:10" ht="18" customHeight="1" x14ac:dyDescent="0.3">
      <c r="A3" s="20" t="s">
        <v>12</v>
      </c>
      <c r="B3" s="13" t="s">
        <v>112</v>
      </c>
      <c r="C3" s="13">
        <v>8</v>
      </c>
      <c r="D3" s="13">
        <v>8</v>
      </c>
      <c r="E3" s="13">
        <v>8</v>
      </c>
      <c r="F3" s="13">
        <v>8</v>
      </c>
      <c r="G3" s="13">
        <v>8</v>
      </c>
      <c r="H3" s="13">
        <v>8</v>
      </c>
      <c r="I3" s="13">
        <v>8</v>
      </c>
      <c r="J3" s="13">
        <v>8</v>
      </c>
    </row>
    <row r="4" spans="1:10" ht="18" customHeight="1" x14ac:dyDescent="0.3">
      <c r="A4" s="43" t="s">
        <v>12</v>
      </c>
      <c r="B4" s="29" t="s">
        <v>113</v>
      </c>
      <c r="C4" s="43">
        <f>'Weekly Shift Roster'!C36</f>
        <v>9</v>
      </c>
      <c r="D4" s="43">
        <f>'Weekly Shift Roster'!D36</f>
        <v>9</v>
      </c>
      <c r="E4" s="43">
        <f>'Weekly Shift Roster'!E36</f>
        <v>9</v>
      </c>
      <c r="F4" s="43">
        <f>'Weekly Shift Roster'!F36</f>
        <v>8</v>
      </c>
      <c r="G4" s="43">
        <f>'Weekly Shift Roster'!G36</f>
        <v>10</v>
      </c>
      <c r="H4" s="43">
        <f>'Weekly Shift Roster'!H36</f>
        <v>10</v>
      </c>
      <c r="I4" s="43">
        <f>'Weekly Shift Roster'!I36</f>
        <v>0</v>
      </c>
      <c r="J4" s="44">
        <f>IFERROR(AVERAGE(C4:I4),0)</f>
        <v>7.8571428571428568</v>
      </c>
    </row>
    <row r="5" spans="1:10" ht="18" customHeight="1" x14ac:dyDescent="0.3">
      <c r="A5" s="43" t="s">
        <v>12</v>
      </c>
      <c r="B5" s="29" t="s">
        <v>114</v>
      </c>
      <c r="C5" s="29">
        <f t="shared" ref="C5:I5" si="0">C4-C3</f>
        <v>1</v>
      </c>
      <c r="D5" s="29">
        <f t="shared" si="0"/>
        <v>1</v>
      </c>
      <c r="E5" s="29">
        <f t="shared" si="0"/>
        <v>1</v>
      </c>
      <c r="F5" s="29">
        <f t="shared" si="0"/>
        <v>0</v>
      </c>
      <c r="G5" s="29">
        <f t="shared" si="0"/>
        <v>2</v>
      </c>
      <c r="H5" s="29">
        <f t="shared" si="0"/>
        <v>2</v>
      </c>
      <c r="I5" s="29">
        <f t="shared" si="0"/>
        <v>-8</v>
      </c>
      <c r="J5" s="44">
        <f>IFERROR(AVERAGE(C5:I5),0)</f>
        <v>-0.14285714285714285</v>
      </c>
    </row>
    <row r="6" spans="1:10" ht="18" customHeight="1" x14ac:dyDescent="0.3">
      <c r="A6" s="43" t="s">
        <v>12</v>
      </c>
      <c r="B6" s="29" t="s">
        <v>7</v>
      </c>
      <c r="C6" s="29" t="str">
        <f t="shared" ref="C6:I6" si="1">IF(C5&gt;=0,"OK","SHORTAGE")</f>
        <v>OK</v>
      </c>
      <c r="D6" s="29" t="str">
        <f t="shared" si="1"/>
        <v>OK</v>
      </c>
      <c r="E6" s="29" t="str">
        <f t="shared" si="1"/>
        <v>OK</v>
      </c>
      <c r="F6" s="29" t="str">
        <f t="shared" si="1"/>
        <v>OK</v>
      </c>
      <c r="G6" s="29" t="str">
        <f t="shared" si="1"/>
        <v>OK</v>
      </c>
      <c r="H6" s="29" t="str">
        <f t="shared" si="1"/>
        <v>OK</v>
      </c>
      <c r="I6" s="29" t="str">
        <f t="shared" si="1"/>
        <v>SHORTAGE</v>
      </c>
      <c r="J6" s="30"/>
    </row>
    <row r="7" spans="1:10" ht="18" customHeight="1" x14ac:dyDescent="0.3">
      <c r="A7" s="25" t="s">
        <v>17</v>
      </c>
      <c r="B7" s="13" t="s">
        <v>112</v>
      </c>
      <c r="C7" s="13">
        <v>8</v>
      </c>
      <c r="D7" s="13">
        <v>8</v>
      </c>
      <c r="E7" s="13">
        <v>8</v>
      </c>
      <c r="F7" s="13">
        <v>8</v>
      </c>
      <c r="G7" s="13">
        <v>8</v>
      </c>
      <c r="H7" s="13">
        <v>8</v>
      </c>
      <c r="I7" s="13">
        <v>8</v>
      </c>
      <c r="J7" s="13">
        <v>8</v>
      </c>
    </row>
    <row r="8" spans="1:10" ht="18" customHeight="1" x14ac:dyDescent="0.3">
      <c r="A8" s="45" t="s">
        <v>17</v>
      </c>
      <c r="B8" s="32" t="s">
        <v>113</v>
      </c>
      <c r="C8" s="45">
        <f>'Weekly Shift Roster'!C37</f>
        <v>10</v>
      </c>
      <c r="D8" s="45">
        <f>'Weekly Shift Roster'!D37</f>
        <v>10</v>
      </c>
      <c r="E8" s="45">
        <f>'Weekly Shift Roster'!E37</f>
        <v>10</v>
      </c>
      <c r="F8" s="45">
        <f>'Weekly Shift Roster'!F37</f>
        <v>10</v>
      </c>
      <c r="G8" s="45">
        <f>'Weekly Shift Roster'!G37</f>
        <v>10</v>
      </c>
      <c r="H8" s="45">
        <f>'Weekly Shift Roster'!H37</f>
        <v>10</v>
      </c>
      <c r="I8" s="45">
        <f>'Weekly Shift Roster'!I37</f>
        <v>0</v>
      </c>
      <c r="J8" s="46">
        <f>IFERROR(AVERAGE(C8:I8),0)</f>
        <v>8.5714285714285712</v>
      </c>
    </row>
    <row r="9" spans="1:10" ht="18" customHeight="1" x14ac:dyDescent="0.3">
      <c r="A9" s="45" t="s">
        <v>17</v>
      </c>
      <c r="B9" s="32" t="s">
        <v>114</v>
      </c>
      <c r="C9" s="32">
        <f t="shared" ref="C9:I9" si="2">C8-C7</f>
        <v>2</v>
      </c>
      <c r="D9" s="32">
        <f t="shared" si="2"/>
        <v>2</v>
      </c>
      <c r="E9" s="32">
        <f t="shared" si="2"/>
        <v>2</v>
      </c>
      <c r="F9" s="32">
        <f t="shared" si="2"/>
        <v>2</v>
      </c>
      <c r="G9" s="32">
        <f t="shared" si="2"/>
        <v>2</v>
      </c>
      <c r="H9" s="32">
        <f t="shared" si="2"/>
        <v>2</v>
      </c>
      <c r="I9" s="32">
        <f t="shared" si="2"/>
        <v>-8</v>
      </c>
      <c r="J9" s="46">
        <f>IFERROR(AVERAGE(C9:I9),0)</f>
        <v>0.5714285714285714</v>
      </c>
    </row>
    <row r="10" spans="1:10" ht="18" customHeight="1" x14ac:dyDescent="0.3">
      <c r="A10" s="45" t="s">
        <v>17</v>
      </c>
      <c r="B10" s="32" t="s">
        <v>7</v>
      </c>
      <c r="C10" s="32" t="str">
        <f t="shared" ref="C10:I10" si="3">IF(C9&gt;=0,"OK","SHORTAGE")</f>
        <v>OK</v>
      </c>
      <c r="D10" s="32" t="str">
        <f t="shared" si="3"/>
        <v>OK</v>
      </c>
      <c r="E10" s="32" t="str">
        <f t="shared" si="3"/>
        <v>OK</v>
      </c>
      <c r="F10" s="32" t="str">
        <f t="shared" si="3"/>
        <v>OK</v>
      </c>
      <c r="G10" s="32" t="str">
        <f t="shared" si="3"/>
        <v>OK</v>
      </c>
      <c r="H10" s="32" t="str">
        <f t="shared" si="3"/>
        <v>OK</v>
      </c>
      <c r="I10" s="32" t="str">
        <f t="shared" si="3"/>
        <v>SHORTAGE</v>
      </c>
      <c r="J10" s="33"/>
    </row>
    <row r="11" spans="1:10" ht="18" customHeight="1" x14ac:dyDescent="0.3">
      <c r="A11" s="27" t="s">
        <v>21</v>
      </c>
      <c r="B11" s="13" t="s">
        <v>112</v>
      </c>
      <c r="C11" s="13">
        <v>6</v>
      </c>
      <c r="D11" s="13">
        <v>6</v>
      </c>
      <c r="E11" s="13">
        <v>6</v>
      </c>
      <c r="F11" s="13">
        <v>6</v>
      </c>
      <c r="G11" s="13">
        <v>6</v>
      </c>
      <c r="H11" s="13">
        <v>6</v>
      </c>
      <c r="I11" s="13">
        <v>6</v>
      </c>
      <c r="J11" s="13">
        <v>6</v>
      </c>
    </row>
    <row r="12" spans="1:10" ht="18" customHeight="1" x14ac:dyDescent="0.3">
      <c r="A12" s="47" t="s">
        <v>21</v>
      </c>
      <c r="B12" s="35" t="s">
        <v>113</v>
      </c>
      <c r="C12" s="47">
        <f>'Weekly Shift Roster'!C38</f>
        <v>10</v>
      </c>
      <c r="D12" s="47">
        <f>'Weekly Shift Roster'!D38</f>
        <v>10</v>
      </c>
      <c r="E12" s="47">
        <f>'Weekly Shift Roster'!E38</f>
        <v>10</v>
      </c>
      <c r="F12" s="47">
        <f>'Weekly Shift Roster'!F38</f>
        <v>10</v>
      </c>
      <c r="G12" s="47">
        <f>'Weekly Shift Roster'!G38</f>
        <v>10</v>
      </c>
      <c r="H12" s="47">
        <f>'Weekly Shift Roster'!H38</f>
        <v>10</v>
      </c>
      <c r="I12" s="47">
        <f>'Weekly Shift Roster'!I38</f>
        <v>0</v>
      </c>
      <c r="J12" s="48">
        <f>IFERROR(AVERAGE(C12:I12),0)</f>
        <v>8.5714285714285712</v>
      </c>
    </row>
    <row r="13" spans="1:10" ht="18" customHeight="1" x14ac:dyDescent="0.3">
      <c r="A13" s="47" t="s">
        <v>21</v>
      </c>
      <c r="B13" s="35" t="s">
        <v>114</v>
      </c>
      <c r="C13" s="35">
        <f t="shared" ref="C13:I13" si="4">C12-C11</f>
        <v>4</v>
      </c>
      <c r="D13" s="35">
        <f t="shared" si="4"/>
        <v>4</v>
      </c>
      <c r="E13" s="35">
        <f t="shared" si="4"/>
        <v>4</v>
      </c>
      <c r="F13" s="35">
        <f t="shared" si="4"/>
        <v>4</v>
      </c>
      <c r="G13" s="35">
        <f t="shared" si="4"/>
        <v>4</v>
      </c>
      <c r="H13" s="35">
        <f t="shared" si="4"/>
        <v>4</v>
      </c>
      <c r="I13" s="35">
        <f t="shared" si="4"/>
        <v>-6</v>
      </c>
      <c r="J13" s="48">
        <f>IFERROR(AVERAGE(C13:I13),0)</f>
        <v>2.5714285714285716</v>
      </c>
    </row>
    <row r="14" spans="1:10" ht="18" customHeight="1" x14ac:dyDescent="0.3">
      <c r="A14" s="47" t="s">
        <v>21</v>
      </c>
      <c r="B14" s="35" t="s">
        <v>7</v>
      </c>
      <c r="C14" s="35" t="str">
        <f t="shared" ref="C14:I14" si="5">IF(C13&gt;=0,"OK","SHORTAGE")</f>
        <v>OK</v>
      </c>
      <c r="D14" s="35" t="str">
        <f t="shared" si="5"/>
        <v>OK</v>
      </c>
      <c r="E14" s="35" t="str">
        <f t="shared" si="5"/>
        <v>OK</v>
      </c>
      <c r="F14" s="35" t="str">
        <f t="shared" si="5"/>
        <v>OK</v>
      </c>
      <c r="G14" s="35" t="str">
        <f t="shared" si="5"/>
        <v>OK</v>
      </c>
      <c r="H14" s="35" t="str">
        <f t="shared" si="5"/>
        <v>OK</v>
      </c>
      <c r="I14" s="35" t="str">
        <f t="shared" si="5"/>
        <v>SHORTAGE</v>
      </c>
      <c r="J14" s="36"/>
    </row>
  </sheetData>
  <mergeCells count="1">
    <mergeCell ref="A1:J1"/>
  </mergeCells>
  <conditionalFormatting sqref="C6:I6">
    <cfRule type="expression" dxfId="5" priority="2">
      <formula>C6="OK"</formula>
    </cfRule>
    <cfRule type="expression" dxfId="4" priority="3">
      <formula>C6="SHORTAGE"</formula>
    </cfRule>
  </conditionalFormatting>
  <conditionalFormatting sqref="C10:I10">
    <cfRule type="expression" dxfId="3" priority="4">
      <formula>C10="OK"</formula>
    </cfRule>
    <cfRule type="expression" dxfId="2" priority="5">
      <formula>C10="SHORTAGE"</formula>
    </cfRule>
  </conditionalFormatting>
  <conditionalFormatting sqref="C14:I14">
    <cfRule type="expression" dxfId="1" priority="6">
      <formula>C14="OK"</formula>
    </cfRule>
    <cfRule type="expression" dxfId="0" priority="7">
      <formula>C14="SHORTAGE"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42"/>
  <sheetViews>
    <sheetView showGridLines="0" zoomScaleNormal="100" workbookViewId="0">
      <pane ySplit="2" topLeftCell="A30" activePane="bottomLeft" state="frozen"/>
      <selection pane="bottomLeft" activeCell="C38" sqref="C38"/>
    </sheetView>
  </sheetViews>
  <sheetFormatPr defaultColWidth="8.6640625" defaultRowHeight="14.4" x14ac:dyDescent="0.3"/>
  <cols>
    <col min="1" max="1" width="10" customWidth="1"/>
    <col min="2" max="2" width="20" customWidth="1"/>
    <col min="3" max="3" width="14" customWidth="1"/>
    <col min="4" max="4" width="20" customWidth="1"/>
    <col min="5" max="7" width="14" customWidth="1"/>
    <col min="8" max="8" width="12" customWidth="1"/>
    <col min="9" max="9" width="18" customWidth="1"/>
  </cols>
  <sheetData>
    <row r="1" spans="1:9" ht="31.5" customHeight="1" x14ac:dyDescent="0.3">
      <c r="A1" s="3" t="s">
        <v>115</v>
      </c>
      <c r="B1" s="3"/>
      <c r="C1" s="3"/>
      <c r="D1" s="3"/>
      <c r="E1" s="3"/>
      <c r="F1" s="3"/>
      <c r="G1" s="3"/>
      <c r="H1" s="3"/>
      <c r="I1" s="3"/>
    </row>
    <row r="2" spans="1:9" ht="21.75" customHeight="1" x14ac:dyDescent="0.3">
      <c r="A2" s="1" t="s">
        <v>116</v>
      </c>
      <c r="B2" s="1"/>
      <c r="C2" s="1"/>
      <c r="D2" s="1"/>
      <c r="E2" s="1"/>
      <c r="F2" s="1"/>
      <c r="G2" s="1"/>
      <c r="H2" s="1"/>
      <c r="I2" s="1"/>
    </row>
    <row r="3" spans="1:9" ht="27.75" customHeight="1" x14ac:dyDescent="0.3">
      <c r="A3" s="4" t="s">
        <v>1</v>
      </c>
      <c r="B3" s="4" t="s">
        <v>2</v>
      </c>
      <c r="C3" s="4" t="s">
        <v>3</v>
      </c>
      <c r="D3" s="4" t="s">
        <v>117</v>
      </c>
      <c r="E3" s="4" t="s">
        <v>118</v>
      </c>
      <c r="F3" s="4" t="s">
        <v>119</v>
      </c>
      <c r="G3" s="4" t="s">
        <v>120</v>
      </c>
      <c r="H3" s="4" t="s">
        <v>7</v>
      </c>
      <c r="I3" s="4" t="s">
        <v>121</v>
      </c>
    </row>
    <row r="4" spans="1:9" ht="18" customHeight="1" x14ac:dyDescent="0.3">
      <c r="A4" s="5" t="s">
        <v>8</v>
      </c>
      <c r="B4" s="6" t="s">
        <v>9</v>
      </c>
      <c r="C4" s="6" t="s">
        <v>10</v>
      </c>
      <c r="D4" s="7">
        <v>45606</v>
      </c>
      <c r="E4" s="5" t="s">
        <v>96</v>
      </c>
      <c r="F4" s="6" t="s">
        <v>122</v>
      </c>
      <c r="G4" s="5" t="s">
        <v>123</v>
      </c>
      <c r="H4" s="8" t="s">
        <v>124</v>
      </c>
      <c r="I4" s="5" t="s">
        <v>125</v>
      </c>
    </row>
    <row r="5" spans="1:9" ht="18" customHeight="1" x14ac:dyDescent="0.3">
      <c r="A5" s="9" t="s">
        <v>14</v>
      </c>
      <c r="B5" s="10" t="s">
        <v>15</v>
      </c>
      <c r="C5" s="10" t="s">
        <v>16</v>
      </c>
      <c r="D5" s="11">
        <v>45606</v>
      </c>
      <c r="E5" s="9" t="s">
        <v>96</v>
      </c>
      <c r="F5" s="10" t="s">
        <v>122</v>
      </c>
      <c r="G5" s="9" t="s">
        <v>123</v>
      </c>
      <c r="H5" s="12" t="s">
        <v>124</v>
      </c>
      <c r="I5" s="9" t="s">
        <v>125</v>
      </c>
    </row>
    <row r="6" spans="1:9" ht="18" customHeight="1" x14ac:dyDescent="0.3">
      <c r="A6" s="5" t="s">
        <v>18</v>
      </c>
      <c r="B6" s="6" t="s">
        <v>19</v>
      </c>
      <c r="C6" s="6" t="s">
        <v>20</v>
      </c>
      <c r="D6" s="7">
        <v>45606</v>
      </c>
      <c r="E6" s="5" t="s">
        <v>96</v>
      </c>
      <c r="F6" s="6" t="s">
        <v>122</v>
      </c>
      <c r="G6" s="5" t="s">
        <v>123</v>
      </c>
      <c r="H6" s="8" t="s">
        <v>124</v>
      </c>
      <c r="I6" s="5" t="s">
        <v>125</v>
      </c>
    </row>
    <row r="7" spans="1:9" ht="18" customHeight="1" x14ac:dyDescent="0.3">
      <c r="A7" s="9" t="s">
        <v>22</v>
      </c>
      <c r="B7" s="10" t="s">
        <v>23</v>
      </c>
      <c r="C7" s="10" t="s">
        <v>10</v>
      </c>
      <c r="D7" s="11">
        <v>45606</v>
      </c>
      <c r="E7" s="9" t="s">
        <v>96</v>
      </c>
      <c r="F7" s="10" t="s">
        <v>122</v>
      </c>
      <c r="G7" s="9" t="s">
        <v>123</v>
      </c>
      <c r="H7" s="12" t="s">
        <v>124</v>
      </c>
      <c r="I7" s="9" t="s">
        <v>125</v>
      </c>
    </row>
    <row r="8" spans="1:9" ht="18" customHeight="1" x14ac:dyDescent="0.3">
      <c r="A8" s="5" t="s">
        <v>24</v>
      </c>
      <c r="B8" s="6" t="s">
        <v>25</v>
      </c>
      <c r="C8" s="6" t="s">
        <v>16</v>
      </c>
      <c r="D8" s="7">
        <v>45606</v>
      </c>
      <c r="E8" s="5" t="s">
        <v>96</v>
      </c>
      <c r="F8" s="6" t="s">
        <v>122</v>
      </c>
      <c r="G8" s="5" t="s">
        <v>123</v>
      </c>
      <c r="H8" s="8" t="s">
        <v>124</v>
      </c>
      <c r="I8" s="5" t="s">
        <v>125</v>
      </c>
    </row>
    <row r="9" spans="1:9" ht="18" customHeight="1" x14ac:dyDescent="0.3">
      <c r="A9" s="9" t="s">
        <v>26</v>
      </c>
      <c r="B9" s="10" t="s">
        <v>27</v>
      </c>
      <c r="C9" s="10" t="s">
        <v>20</v>
      </c>
      <c r="D9" s="11">
        <v>45606</v>
      </c>
      <c r="E9" s="9" t="s">
        <v>96</v>
      </c>
      <c r="F9" s="10" t="s">
        <v>122</v>
      </c>
      <c r="G9" s="9" t="s">
        <v>123</v>
      </c>
      <c r="H9" s="12" t="s">
        <v>124</v>
      </c>
      <c r="I9" s="9" t="s">
        <v>125</v>
      </c>
    </row>
    <row r="10" spans="1:9" ht="18" customHeight="1" x14ac:dyDescent="0.3">
      <c r="A10" s="5" t="s">
        <v>28</v>
      </c>
      <c r="B10" s="6" t="s">
        <v>29</v>
      </c>
      <c r="C10" s="6" t="s">
        <v>10</v>
      </c>
      <c r="D10" s="7">
        <v>45606</v>
      </c>
      <c r="E10" s="5" t="s">
        <v>96</v>
      </c>
      <c r="F10" s="6" t="s">
        <v>122</v>
      </c>
      <c r="G10" s="5" t="s">
        <v>123</v>
      </c>
      <c r="H10" s="8" t="s">
        <v>124</v>
      </c>
      <c r="I10" s="5" t="s">
        <v>125</v>
      </c>
    </row>
    <row r="11" spans="1:9" ht="18" customHeight="1" x14ac:dyDescent="0.3">
      <c r="A11" s="9" t="s">
        <v>30</v>
      </c>
      <c r="B11" s="10" t="s">
        <v>31</v>
      </c>
      <c r="C11" s="10" t="s">
        <v>16</v>
      </c>
      <c r="D11" s="11">
        <v>45606</v>
      </c>
      <c r="E11" s="9" t="s">
        <v>96</v>
      </c>
      <c r="F11" s="10" t="s">
        <v>122</v>
      </c>
      <c r="G11" s="9" t="s">
        <v>123</v>
      </c>
      <c r="H11" s="12" t="s">
        <v>124</v>
      </c>
      <c r="I11" s="9" t="s">
        <v>125</v>
      </c>
    </row>
    <row r="12" spans="1:9" ht="18" customHeight="1" x14ac:dyDescent="0.3">
      <c r="A12" s="5" t="s">
        <v>32</v>
      </c>
      <c r="B12" s="6" t="s">
        <v>33</v>
      </c>
      <c r="C12" s="6" t="s">
        <v>20</v>
      </c>
      <c r="D12" s="7">
        <v>45606</v>
      </c>
      <c r="E12" s="5" t="s">
        <v>96</v>
      </c>
      <c r="F12" s="6" t="s">
        <v>122</v>
      </c>
      <c r="G12" s="5" t="s">
        <v>123</v>
      </c>
      <c r="H12" s="8" t="s">
        <v>124</v>
      </c>
      <c r="I12" s="5" t="s">
        <v>125</v>
      </c>
    </row>
    <row r="13" spans="1:9" ht="18" customHeight="1" x14ac:dyDescent="0.3">
      <c r="A13" s="9" t="s">
        <v>34</v>
      </c>
      <c r="B13" s="10" t="s">
        <v>35</v>
      </c>
      <c r="C13" s="10" t="s">
        <v>10</v>
      </c>
      <c r="D13" s="11">
        <v>45606</v>
      </c>
      <c r="E13" s="9" t="s">
        <v>96</v>
      </c>
      <c r="F13" s="10" t="s">
        <v>122</v>
      </c>
      <c r="G13" s="9" t="s">
        <v>123</v>
      </c>
      <c r="H13" s="12" t="s">
        <v>124</v>
      </c>
      <c r="I13" s="9" t="s">
        <v>125</v>
      </c>
    </row>
    <row r="14" spans="1:9" ht="18" customHeight="1" x14ac:dyDescent="0.3">
      <c r="A14" s="5" t="s">
        <v>36</v>
      </c>
      <c r="B14" s="6" t="s">
        <v>37</v>
      </c>
      <c r="C14" s="6" t="s">
        <v>16</v>
      </c>
      <c r="D14" s="7">
        <v>45606</v>
      </c>
      <c r="E14" s="5" t="s">
        <v>96</v>
      </c>
      <c r="F14" s="6" t="s">
        <v>122</v>
      </c>
      <c r="G14" s="5" t="s">
        <v>123</v>
      </c>
      <c r="H14" s="8" t="s">
        <v>124</v>
      </c>
      <c r="I14" s="5" t="s">
        <v>125</v>
      </c>
    </row>
    <row r="15" spans="1:9" ht="18" customHeight="1" x14ac:dyDescent="0.3">
      <c r="A15" s="9" t="s">
        <v>38</v>
      </c>
      <c r="B15" s="10" t="s">
        <v>39</v>
      </c>
      <c r="C15" s="10" t="s">
        <v>20</v>
      </c>
      <c r="D15" s="11">
        <v>45606</v>
      </c>
      <c r="E15" s="9" t="s">
        <v>96</v>
      </c>
      <c r="F15" s="10" t="s">
        <v>122</v>
      </c>
      <c r="G15" s="9" t="s">
        <v>123</v>
      </c>
      <c r="H15" s="12" t="s">
        <v>124</v>
      </c>
      <c r="I15" s="9" t="s">
        <v>125</v>
      </c>
    </row>
    <row r="16" spans="1:9" ht="18" customHeight="1" x14ac:dyDescent="0.3">
      <c r="A16" s="5" t="s">
        <v>40</v>
      </c>
      <c r="B16" s="6" t="s">
        <v>41</v>
      </c>
      <c r="C16" s="6" t="s">
        <v>10</v>
      </c>
      <c r="D16" s="7">
        <v>45606</v>
      </c>
      <c r="E16" s="5" t="s">
        <v>96</v>
      </c>
      <c r="F16" s="6" t="s">
        <v>122</v>
      </c>
      <c r="G16" s="5" t="s">
        <v>123</v>
      </c>
      <c r="H16" s="8" t="s">
        <v>124</v>
      </c>
      <c r="I16" s="5" t="s">
        <v>125</v>
      </c>
    </row>
    <row r="17" spans="1:9" ht="18" customHeight="1" x14ac:dyDescent="0.3">
      <c r="A17" s="9" t="s">
        <v>42</v>
      </c>
      <c r="B17" s="10" t="s">
        <v>43</v>
      </c>
      <c r="C17" s="10" t="s">
        <v>16</v>
      </c>
      <c r="D17" s="11">
        <v>45606</v>
      </c>
      <c r="E17" s="9" t="s">
        <v>96</v>
      </c>
      <c r="F17" s="10" t="s">
        <v>122</v>
      </c>
      <c r="G17" s="9" t="s">
        <v>123</v>
      </c>
      <c r="H17" s="12" t="s">
        <v>124</v>
      </c>
      <c r="I17" s="9" t="s">
        <v>125</v>
      </c>
    </row>
    <row r="18" spans="1:9" ht="18" customHeight="1" x14ac:dyDescent="0.3">
      <c r="A18" s="5" t="s">
        <v>44</v>
      </c>
      <c r="B18" s="6" t="s">
        <v>45</v>
      </c>
      <c r="C18" s="6" t="s">
        <v>20</v>
      </c>
      <c r="D18" s="7">
        <v>45606</v>
      </c>
      <c r="E18" s="5" t="s">
        <v>96</v>
      </c>
      <c r="F18" s="6" t="s">
        <v>122</v>
      </c>
      <c r="G18" s="5" t="s">
        <v>123</v>
      </c>
      <c r="H18" s="8" t="s">
        <v>124</v>
      </c>
      <c r="I18" s="5" t="s">
        <v>125</v>
      </c>
    </row>
    <row r="19" spans="1:9" ht="18" customHeight="1" x14ac:dyDescent="0.3">
      <c r="A19" s="9" t="s">
        <v>46</v>
      </c>
      <c r="B19" s="10" t="s">
        <v>47</v>
      </c>
      <c r="C19" s="10" t="s">
        <v>10</v>
      </c>
      <c r="D19" s="11">
        <v>45606</v>
      </c>
      <c r="E19" s="9" t="s">
        <v>96</v>
      </c>
      <c r="F19" s="10" t="s">
        <v>122</v>
      </c>
      <c r="G19" s="9" t="s">
        <v>123</v>
      </c>
      <c r="H19" s="12" t="s">
        <v>124</v>
      </c>
      <c r="I19" s="9" t="s">
        <v>125</v>
      </c>
    </row>
    <row r="20" spans="1:9" ht="18" customHeight="1" x14ac:dyDescent="0.3">
      <c r="A20" s="5" t="s">
        <v>48</v>
      </c>
      <c r="B20" s="6" t="s">
        <v>49</v>
      </c>
      <c r="C20" s="6" t="s">
        <v>16</v>
      </c>
      <c r="D20" s="7">
        <v>45606</v>
      </c>
      <c r="E20" s="5" t="s">
        <v>96</v>
      </c>
      <c r="F20" s="6" t="s">
        <v>122</v>
      </c>
      <c r="G20" s="5" t="s">
        <v>123</v>
      </c>
      <c r="H20" s="8" t="s">
        <v>124</v>
      </c>
      <c r="I20" s="5" t="s">
        <v>125</v>
      </c>
    </row>
    <row r="21" spans="1:9" ht="18" customHeight="1" x14ac:dyDescent="0.3">
      <c r="A21" s="9" t="s">
        <v>50</v>
      </c>
      <c r="B21" s="10" t="s">
        <v>51</v>
      </c>
      <c r="C21" s="10" t="s">
        <v>20</v>
      </c>
      <c r="D21" s="11">
        <v>45606</v>
      </c>
      <c r="E21" s="9" t="s">
        <v>96</v>
      </c>
      <c r="F21" s="10" t="s">
        <v>122</v>
      </c>
      <c r="G21" s="9" t="s">
        <v>123</v>
      </c>
      <c r="H21" s="12" t="s">
        <v>124</v>
      </c>
      <c r="I21" s="9" t="s">
        <v>125</v>
      </c>
    </row>
    <row r="22" spans="1:9" ht="18" customHeight="1" x14ac:dyDescent="0.3">
      <c r="A22" s="5" t="s">
        <v>52</v>
      </c>
      <c r="B22" s="6" t="s">
        <v>53</v>
      </c>
      <c r="C22" s="6" t="s">
        <v>10</v>
      </c>
      <c r="D22" s="7">
        <v>45606</v>
      </c>
      <c r="E22" s="5" t="s">
        <v>96</v>
      </c>
      <c r="F22" s="6" t="s">
        <v>122</v>
      </c>
      <c r="G22" s="5" t="s">
        <v>123</v>
      </c>
      <c r="H22" s="8" t="s">
        <v>124</v>
      </c>
      <c r="I22" s="5" t="s">
        <v>125</v>
      </c>
    </row>
    <row r="23" spans="1:9" ht="18" customHeight="1" x14ac:dyDescent="0.3">
      <c r="A23" s="9" t="s">
        <v>54</v>
      </c>
      <c r="B23" s="10" t="s">
        <v>55</v>
      </c>
      <c r="C23" s="10" t="s">
        <v>16</v>
      </c>
      <c r="D23" s="11">
        <v>45606</v>
      </c>
      <c r="E23" s="9" t="s">
        <v>96</v>
      </c>
      <c r="F23" s="10" t="s">
        <v>122</v>
      </c>
      <c r="G23" s="9" t="s">
        <v>123</v>
      </c>
      <c r="H23" s="12" t="s">
        <v>124</v>
      </c>
      <c r="I23" s="9" t="s">
        <v>125</v>
      </c>
    </row>
    <row r="24" spans="1:9" ht="18" customHeight="1" x14ac:dyDescent="0.3">
      <c r="A24" s="5" t="s">
        <v>56</v>
      </c>
      <c r="B24" s="6" t="s">
        <v>57</v>
      </c>
      <c r="C24" s="6" t="s">
        <v>20</v>
      </c>
      <c r="D24" s="7">
        <v>45606</v>
      </c>
      <c r="E24" s="5" t="s">
        <v>96</v>
      </c>
      <c r="F24" s="6" t="s">
        <v>122</v>
      </c>
      <c r="G24" s="5" t="s">
        <v>123</v>
      </c>
      <c r="H24" s="8" t="s">
        <v>124</v>
      </c>
      <c r="I24" s="5" t="s">
        <v>125</v>
      </c>
    </row>
    <row r="25" spans="1:9" ht="18" customHeight="1" x14ac:dyDescent="0.3">
      <c r="A25" s="9" t="s">
        <v>58</v>
      </c>
      <c r="B25" s="10" t="s">
        <v>59</v>
      </c>
      <c r="C25" s="10" t="s">
        <v>10</v>
      </c>
      <c r="D25" s="11">
        <v>45606</v>
      </c>
      <c r="E25" s="9" t="s">
        <v>96</v>
      </c>
      <c r="F25" s="10" t="s">
        <v>122</v>
      </c>
      <c r="G25" s="9" t="s">
        <v>123</v>
      </c>
      <c r="H25" s="12" t="s">
        <v>124</v>
      </c>
      <c r="I25" s="9" t="s">
        <v>125</v>
      </c>
    </row>
    <row r="26" spans="1:9" ht="18" customHeight="1" x14ac:dyDescent="0.3">
      <c r="A26" s="5" t="s">
        <v>60</v>
      </c>
      <c r="B26" s="6" t="s">
        <v>61</v>
      </c>
      <c r="C26" s="6" t="s">
        <v>16</v>
      </c>
      <c r="D26" s="7">
        <v>45606</v>
      </c>
      <c r="E26" s="5" t="s">
        <v>96</v>
      </c>
      <c r="F26" s="6" t="s">
        <v>122</v>
      </c>
      <c r="G26" s="5" t="s">
        <v>123</v>
      </c>
      <c r="H26" s="8" t="s">
        <v>124</v>
      </c>
      <c r="I26" s="5" t="s">
        <v>125</v>
      </c>
    </row>
    <row r="27" spans="1:9" ht="18" customHeight="1" x14ac:dyDescent="0.3">
      <c r="A27" s="9" t="s">
        <v>62</v>
      </c>
      <c r="B27" s="10" t="s">
        <v>63</v>
      </c>
      <c r="C27" s="10" t="s">
        <v>20</v>
      </c>
      <c r="D27" s="11">
        <v>45606</v>
      </c>
      <c r="E27" s="9" t="s">
        <v>96</v>
      </c>
      <c r="F27" s="10" t="s">
        <v>122</v>
      </c>
      <c r="G27" s="9" t="s">
        <v>123</v>
      </c>
      <c r="H27" s="12" t="s">
        <v>124</v>
      </c>
      <c r="I27" s="9" t="s">
        <v>125</v>
      </c>
    </row>
    <row r="28" spans="1:9" ht="18" customHeight="1" x14ac:dyDescent="0.3">
      <c r="A28" s="5" t="s">
        <v>64</v>
      </c>
      <c r="B28" s="6" t="s">
        <v>65</v>
      </c>
      <c r="C28" s="6" t="s">
        <v>10</v>
      </c>
      <c r="D28" s="7">
        <v>45606</v>
      </c>
      <c r="E28" s="5" t="s">
        <v>96</v>
      </c>
      <c r="F28" s="6" t="s">
        <v>122</v>
      </c>
      <c r="G28" s="5" t="s">
        <v>123</v>
      </c>
      <c r="H28" s="8" t="s">
        <v>124</v>
      </c>
      <c r="I28" s="5" t="s">
        <v>125</v>
      </c>
    </row>
    <row r="29" spans="1:9" ht="18" customHeight="1" x14ac:dyDescent="0.3">
      <c r="A29" s="9" t="s">
        <v>66</v>
      </c>
      <c r="B29" s="10" t="s">
        <v>67</v>
      </c>
      <c r="C29" s="10" t="s">
        <v>16</v>
      </c>
      <c r="D29" s="11">
        <v>45606</v>
      </c>
      <c r="E29" s="9" t="s">
        <v>96</v>
      </c>
      <c r="F29" s="10" t="s">
        <v>122</v>
      </c>
      <c r="G29" s="9" t="s">
        <v>123</v>
      </c>
      <c r="H29" s="12" t="s">
        <v>124</v>
      </c>
      <c r="I29" s="9" t="s">
        <v>125</v>
      </c>
    </row>
    <row r="30" spans="1:9" ht="18" customHeight="1" x14ac:dyDescent="0.3">
      <c r="A30" s="5" t="s">
        <v>68</v>
      </c>
      <c r="B30" s="6" t="s">
        <v>69</v>
      </c>
      <c r="C30" s="6" t="s">
        <v>20</v>
      </c>
      <c r="D30" s="7">
        <v>45606</v>
      </c>
      <c r="E30" s="5" t="s">
        <v>96</v>
      </c>
      <c r="F30" s="6" t="s">
        <v>122</v>
      </c>
      <c r="G30" s="5" t="s">
        <v>123</v>
      </c>
      <c r="H30" s="8" t="s">
        <v>124</v>
      </c>
      <c r="I30" s="5" t="s">
        <v>125</v>
      </c>
    </row>
    <row r="31" spans="1:9" ht="18" customHeight="1" x14ac:dyDescent="0.3">
      <c r="A31" s="9" t="s">
        <v>70</v>
      </c>
      <c r="B31" s="10" t="s">
        <v>71</v>
      </c>
      <c r="C31" s="10" t="s">
        <v>10</v>
      </c>
      <c r="D31" s="11">
        <v>45606</v>
      </c>
      <c r="E31" s="9" t="s">
        <v>96</v>
      </c>
      <c r="F31" s="10" t="s">
        <v>122</v>
      </c>
      <c r="G31" s="9" t="s">
        <v>123</v>
      </c>
      <c r="H31" s="12" t="s">
        <v>124</v>
      </c>
      <c r="I31" s="9" t="s">
        <v>125</v>
      </c>
    </row>
    <row r="32" spans="1:9" ht="18" customHeight="1" x14ac:dyDescent="0.3">
      <c r="A32" s="5" t="s">
        <v>72</v>
      </c>
      <c r="B32" s="6" t="s">
        <v>73</v>
      </c>
      <c r="C32" s="6" t="s">
        <v>16</v>
      </c>
      <c r="D32" s="7">
        <v>45606</v>
      </c>
      <c r="E32" s="5" t="s">
        <v>96</v>
      </c>
      <c r="F32" s="6" t="s">
        <v>122</v>
      </c>
      <c r="G32" s="5" t="s">
        <v>123</v>
      </c>
      <c r="H32" s="8" t="s">
        <v>124</v>
      </c>
      <c r="I32" s="5" t="s">
        <v>125</v>
      </c>
    </row>
    <row r="33" spans="1:9" ht="18" customHeight="1" x14ac:dyDescent="0.3">
      <c r="A33" s="9" t="s">
        <v>74</v>
      </c>
      <c r="B33" s="10" t="s">
        <v>75</v>
      </c>
      <c r="C33" s="10" t="s">
        <v>20</v>
      </c>
      <c r="D33" s="11">
        <v>45606</v>
      </c>
      <c r="E33" s="9" t="s">
        <v>96</v>
      </c>
      <c r="F33" s="10" t="s">
        <v>122</v>
      </c>
      <c r="G33" s="9" t="s">
        <v>123</v>
      </c>
      <c r="H33" s="12" t="s">
        <v>124</v>
      </c>
      <c r="I33" s="9" t="s">
        <v>125</v>
      </c>
    </row>
    <row r="36" spans="1:9" ht="21.75" customHeight="1" x14ac:dyDescent="0.3">
      <c r="A36" s="1" t="s">
        <v>126</v>
      </c>
      <c r="B36" s="1"/>
      <c r="C36" s="1"/>
      <c r="D36" s="1"/>
      <c r="E36" s="1"/>
      <c r="F36" s="1"/>
      <c r="G36" s="1"/>
      <c r="H36" s="1"/>
      <c r="I36" s="1"/>
    </row>
    <row r="37" spans="1:9" ht="27.75" customHeight="1" x14ac:dyDescent="0.3">
      <c r="A37" s="4" t="s">
        <v>127</v>
      </c>
      <c r="B37" s="4" t="s">
        <v>128</v>
      </c>
      <c r="C37" s="4" t="s">
        <v>129</v>
      </c>
      <c r="D37" s="4" t="s">
        <v>130</v>
      </c>
      <c r="E37" s="4" t="s">
        <v>129</v>
      </c>
      <c r="F37" s="4" t="s">
        <v>131</v>
      </c>
      <c r="G37" s="4" t="s">
        <v>120</v>
      </c>
      <c r="H37" s="4" t="s">
        <v>7</v>
      </c>
      <c r="I37" s="4" t="s">
        <v>121</v>
      </c>
    </row>
    <row r="38" spans="1:9" ht="18" customHeight="1" x14ac:dyDescent="0.3">
      <c r="A38" s="5" t="s">
        <v>132</v>
      </c>
      <c r="B38" s="5" t="s">
        <v>15</v>
      </c>
      <c r="C38" s="5" t="s">
        <v>12</v>
      </c>
      <c r="D38" s="5" t="s">
        <v>19</v>
      </c>
      <c r="E38" s="5" t="s">
        <v>17</v>
      </c>
      <c r="F38" s="5" t="s">
        <v>133</v>
      </c>
      <c r="G38" s="5" t="s">
        <v>134</v>
      </c>
      <c r="H38" s="8" t="s">
        <v>124</v>
      </c>
      <c r="I38" s="5" t="s">
        <v>135</v>
      </c>
    </row>
    <row r="39" spans="1:9" ht="18" customHeight="1" x14ac:dyDescent="0.3">
      <c r="A39" s="9" t="s">
        <v>136</v>
      </c>
      <c r="B39" s="9" t="s">
        <v>29</v>
      </c>
      <c r="C39" s="9" t="s">
        <v>21</v>
      </c>
      <c r="D39" s="9" t="s">
        <v>31</v>
      </c>
      <c r="E39" s="9" t="s">
        <v>12</v>
      </c>
      <c r="F39" s="9" t="s">
        <v>137</v>
      </c>
      <c r="G39" s="9" t="s">
        <v>123</v>
      </c>
      <c r="H39" s="12" t="s">
        <v>124</v>
      </c>
      <c r="I39" s="9" t="s">
        <v>138</v>
      </c>
    </row>
    <row r="40" spans="1:9" ht="18" customHeight="1" x14ac:dyDescent="0.3">
      <c r="A40" s="5" t="s">
        <v>139</v>
      </c>
      <c r="B40" s="5" t="s">
        <v>33</v>
      </c>
      <c r="C40" s="5" t="s">
        <v>17</v>
      </c>
      <c r="D40" s="5" t="s">
        <v>35</v>
      </c>
      <c r="E40" s="5" t="s">
        <v>21</v>
      </c>
      <c r="F40" s="5" t="s">
        <v>140</v>
      </c>
      <c r="G40" s="5" t="s">
        <v>134</v>
      </c>
      <c r="H40" s="8" t="s">
        <v>124</v>
      </c>
      <c r="I40" s="5" t="s">
        <v>141</v>
      </c>
    </row>
    <row r="41" spans="1:9" ht="18" customHeight="1" x14ac:dyDescent="0.3">
      <c r="A41" s="9" t="s">
        <v>142</v>
      </c>
      <c r="B41" s="9" t="s">
        <v>37</v>
      </c>
      <c r="C41" s="9" t="s">
        <v>12</v>
      </c>
      <c r="D41" s="9" t="s">
        <v>39</v>
      </c>
      <c r="E41" s="9" t="s">
        <v>17</v>
      </c>
      <c r="F41" s="9" t="s">
        <v>143</v>
      </c>
      <c r="G41" s="9" t="s">
        <v>123</v>
      </c>
      <c r="H41" s="22" t="s">
        <v>144</v>
      </c>
      <c r="I41" s="9" t="s">
        <v>145</v>
      </c>
    </row>
    <row r="42" spans="1:9" ht="18" customHeight="1" x14ac:dyDescent="0.3">
      <c r="A42" s="5" t="s">
        <v>146</v>
      </c>
      <c r="B42" s="5" t="s">
        <v>57</v>
      </c>
      <c r="C42" s="5" t="s">
        <v>21</v>
      </c>
      <c r="D42" s="5" t="s">
        <v>59</v>
      </c>
      <c r="E42" s="5" t="s">
        <v>12</v>
      </c>
      <c r="F42" s="5" t="s">
        <v>147</v>
      </c>
      <c r="G42" s="5" t="s">
        <v>134</v>
      </c>
      <c r="H42" s="8" t="s">
        <v>124</v>
      </c>
      <c r="I42" s="5" t="s">
        <v>148</v>
      </c>
    </row>
  </sheetData>
  <mergeCells count="3">
    <mergeCell ref="A1:I1"/>
    <mergeCell ref="A2:I2"/>
    <mergeCell ref="A36:I3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C14"/>
  <sheetViews>
    <sheetView showGridLines="0" tabSelected="1" zoomScaleNormal="100" workbookViewId="0">
      <selection activeCell="F12" sqref="F12"/>
    </sheetView>
  </sheetViews>
  <sheetFormatPr defaultColWidth="8.6640625" defaultRowHeight="14.4" x14ac:dyDescent="0.3"/>
  <cols>
    <col min="1" max="1" width="22" customWidth="1"/>
    <col min="2" max="2" width="30" customWidth="1"/>
    <col min="3" max="3" width="65" customWidth="1"/>
  </cols>
  <sheetData>
    <row r="1" spans="1:3" ht="31.5" customHeight="1" x14ac:dyDescent="0.3">
      <c r="A1" s="3" t="s">
        <v>149</v>
      </c>
      <c r="B1" s="3"/>
      <c r="C1" s="3"/>
    </row>
    <row r="3" spans="1:3" ht="27.75" customHeight="1" x14ac:dyDescent="0.3">
      <c r="A3" s="4" t="s">
        <v>150</v>
      </c>
      <c r="B3" s="4" t="s">
        <v>151</v>
      </c>
      <c r="C3" s="4" t="s">
        <v>152</v>
      </c>
    </row>
    <row r="4" spans="1:3" ht="30" customHeight="1" x14ac:dyDescent="0.3">
      <c r="A4" s="49" t="s">
        <v>153</v>
      </c>
      <c r="B4" s="5" t="s">
        <v>154</v>
      </c>
      <c r="C4" s="50" t="s">
        <v>155</v>
      </c>
    </row>
    <row r="5" spans="1:3" ht="30" customHeight="1" x14ac:dyDescent="0.3">
      <c r="A5" s="51" t="s">
        <v>156</v>
      </c>
      <c r="B5" s="9" t="s">
        <v>157</v>
      </c>
      <c r="C5" s="52" t="s">
        <v>158</v>
      </c>
    </row>
    <row r="6" spans="1:3" ht="30" customHeight="1" x14ac:dyDescent="0.3">
      <c r="A6" s="49" t="s">
        <v>159</v>
      </c>
      <c r="B6" s="5" t="s">
        <v>160</v>
      </c>
      <c r="C6" s="50" t="s">
        <v>161</v>
      </c>
    </row>
    <row r="7" spans="1:3" ht="30" customHeight="1" x14ac:dyDescent="0.3">
      <c r="A7" s="56" t="s">
        <v>162</v>
      </c>
      <c r="B7" s="57" t="s">
        <v>163</v>
      </c>
      <c r="C7" s="58" t="s">
        <v>164</v>
      </c>
    </row>
    <row r="8" spans="1:3" ht="30" customHeight="1" x14ac:dyDescent="0.3">
      <c r="A8" s="59"/>
      <c r="B8" s="60"/>
      <c r="C8" s="61"/>
    </row>
    <row r="11" spans="1:3" ht="18" customHeight="1" x14ac:dyDescent="0.3">
      <c r="A11" s="53" t="s">
        <v>165</v>
      </c>
      <c r="B11" s="54" t="s">
        <v>166</v>
      </c>
      <c r="C11" s="55"/>
    </row>
    <row r="12" spans="1:3" ht="18" customHeight="1" x14ac:dyDescent="0.3">
      <c r="A12" s="53" t="s">
        <v>167</v>
      </c>
      <c r="B12" s="54" t="s">
        <v>168</v>
      </c>
      <c r="C12" s="55"/>
    </row>
    <row r="13" spans="1:3" ht="18" customHeight="1" x14ac:dyDescent="0.3">
      <c r="A13" s="53" t="s">
        <v>169</v>
      </c>
      <c r="B13" s="54" t="s">
        <v>170</v>
      </c>
      <c r="C13" s="55"/>
    </row>
    <row r="14" spans="1:3" ht="18" customHeight="1" x14ac:dyDescent="0.3">
      <c r="A14" s="53" t="s">
        <v>171</v>
      </c>
      <c r="B14" s="54" t="s">
        <v>172</v>
      </c>
      <c r="C14" s="55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Master</vt:lpstr>
      <vt:lpstr>Weekly Shift Roster</vt:lpstr>
      <vt:lpstr>Headcount Tracker</vt:lpstr>
      <vt:lpstr>Week-Off &amp; Swap 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nadeem shaik</cp:lastModifiedBy>
  <cp:revision>0</cp:revision>
  <dcterms:created xsi:type="dcterms:W3CDTF">2026-03-24T04:30:41Z</dcterms:created>
  <dcterms:modified xsi:type="dcterms:W3CDTF">2026-03-24T05:32:56Z</dcterms:modified>
  <dc:language>en-US</dc:language>
</cp:coreProperties>
</file>